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5440" windowHeight="15990" tabRatio="500"/>
  </bookViews>
  <sheets>
    <sheet name="Sheet1" sheetId="1" r:id="rId1"/>
  </sheets>
  <calcPr calcId="145621" iterate="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" i="1" l="1"/>
  <c r="H4" i="1"/>
  <c r="K4" i="1"/>
  <c r="N4" i="1"/>
  <c r="E5" i="1"/>
  <c r="H5" i="1"/>
  <c r="K5" i="1"/>
  <c r="N5" i="1"/>
  <c r="E8" i="1"/>
  <c r="H8" i="1"/>
  <c r="K8" i="1"/>
  <c r="N8" i="1"/>
  <c r="E12" i="1"/>
  <c r="H12" i="1"/>
  <c r="K12" i="1"/>
  <c r="N12" i="1"/>
  <c r="E3" i="1"/>
  <c r="H3" i="1"/>
  <c r="K3" i="1"/>
  <c r="N3" i="1"/>
  <c r="N23" i="1"/>
  <c r="N16" i="1"/>
  <c r="N15" i="1"/>
  <c r="E7" i="1"/>
  <c r="H7" i="1"/>
  <c r="H23" i="1"/>
  <c r="H16" i="1"/>
  <c r="H15" i="1"/>
  <c r="E9" i="1"/>
  <c r="E10" i="1"/>
  <c r="E11" i="1"/>
  <c r="M21" i="1"/>
  <c r="M22" i="1"/>
  <c r="M20" i="1"/>
  <c r="G21" i="1"/>
  <c r="G22" i="1"/>
  <c r="G20" i="1"/>
  <c r="B13" i="1"/>
  <c r="C4" i="1"/>
  <c r="C5" i="1"/>
  <c r="C6" i="1"/>
  <c r="C7" i="1"/>
  <c r="C8" i="1"/>
  <c r="C9" i="1"/>
  <c r="C10" i="1"/>
  <c r="C11" i="1"/>
  <c r="C12" i="1"/>
  <c r="C13" i="1"/>
  <c r="C3" i="1"/>
  <c r="F3" i="1"/>
  <c r="I3" i="1"/>
  <c r="L3" i="1"/>
  <c r="O3" i="1"/>
  <c r="F4" i="1"/>
  <c r="I4" i="1"/>
  <c r="L4" i="1"/>
  <c r="O4" i="1"/>
  <c r="F5" i="1"/>
  <c r="I5" i="1"/>
  <c r="L5" i="1"/>
  <c r="O5" i="1"/>
  <c r="D6" i="1"/>
  <c r="E6" i="1"/>
  <c r="F6" i="1"/>
  <c r="H6" i="1"/>
  <c r="I6" i="1"/>
  <c r="K6" i="1"/>
  <c r="L6" i="1"/>
  <c r="N6" i="1"/>
  <c r="O6" i="1"/>
  <c r="F7" i="1"/>
  <c r="I7" i="1"/>
  <c r="J7" i="1"/>
  <c r="K7" i="1"/>
  <c r="L7" i="1"/>
  <c r="N7" i="1"/>
  <c r="O7" i="1"/>
  <c r="F8" i="1"/>
  <c r="I8" i="1"/>
  <c r="L8" i="1"/>
  <c r="O8" i="1"/>
  <c r="F9" i="1"/>
  <c r="G9" i="1"/>
  <c r="H9" i="1"/>
  <c r="I9" i="1"/>
  <c r="K9" i="1"/>
  <c r="L9" i="1"/>
  <c r="M9" i="1"/>
  <c r="N9" i="1"/>
  <c r="O9" i="1"/>
  <c r="F10" i="1"/>
  <c r="G10" i="1"/>
  <c r="H10" i="1"/>
  <c r="I10" i="1"/>
  <c r="K10" i="1"/>
  <c r="L10" i="1"/>
  <c r="M10" i="1"/>
  <c r="N10" i="1"/>
  <c r="O10" i="1"/>
  <c r="F11" i="1"/>
  <c r="G11" i="1"/>
  <c r="H11" i="1"/>
  <c r="I11" i="1"/>
  <c r="K11" i="1"/>
  <c r="L11" i="1"/>
  <c r="M11" i="1"/>
  <c r="N11" i="1"/>
  <c r="O11" i="1"/>
  <c r="F12" i="1"/>
  <c r="I12" i="1"/>
  <c r="L12" i="1"/>
  <c r="O12" i="1"/>
  <c r="D13" i="1"/>
  <c r="E13" i="1"/>
  <c r="F13" i="1"/>
  <c r="G13" i="1"/>
  <c r="H13" i="1"/>
  <c r="I13" i="1"/>
  <c r="J13" i="1"/>
  <c r="K13" i="1"/>
  <c r="L13" i="1"/>
  <c r="M13" i="1"/>
  <c r="N13" i="1"/>
  <c r="O13" i="1"/>
  <c r="K17" i="1"/>
  <c r="H18" i="1"/>
  <c r="N18" i="1"/>
  <c r="H25" i="1"/>
  <c r="N25" i="1"/>
  <c r="H26" i="1"/>
  <c r="N26" i="1"/>
  <c r="H27" i="1"/>
  <c r="N27" i="1"/>
</calcChain>
</file>

<file path=xl/sharedStrings.xml><?xml version="1.0" encoding="utf-8"?>
<sst xmlns="http://schemas.openxmlformats.org/spreadsheetml/2006/main" count="55" uniqueCount="36">
  <si>
    <t>Founder 1</t>
  </si>
  <si>
    <t>Founder 2</t>
  </si>
  <si>
    <t>Founder 3</t>
  </si>
  <si>
    <t>Option Pool</t>
  </si>
  <si>
    <t>Investor 1</t>
  </si>
  <si>
    <t>Investor 2</t>
  </si>
  <si>
    <t>Investor 3</t>
  </si>
  <si>
    <t>Total</t>
  </si>
  <si>
    <t>Total Founders</t>
  </si>
  <si>
    <t>Option Pool Expansion</t>
  </si>
  <si>
    <t>Start Point</t>
  </si>
  <si>
    <t>Post Money</t>
  </si>
  <si>
    <t>Round</t>
  </si>
  <si>
    <t>Pre Money</t>
  </si>
  <si>
    <t>PPS</t>
  </si>
  <si>
    <t>Series A</t>
  </si>
  <si>
    <t>Option Pool ++</t>
  </si>
  <si>
    <t>Total Investors</t>
  </si>
  <si>
    <t>Total Option Pool</t>
  </si>
  <si>
    <t>Amount Short for Full Goal</t>
  </si>
  <si>
    <t>Series Seed Round</t>
  </si>
  <si>
    <t>Total Shares</t>
  </si>
  <si>
    <t>Definitions</t>
  </si>
  <si>
    <t xml:space="preserve">FD = </t>
  </si>
  <si>
    <t>Fully Diluted</t>
  </si>
  <si>
    <t>Option Pool ++ =</t>
  </si>
  <si>
    <t>Options for Expansion</t>
  </si>
  <si>
    <t>Total FD %</t>
  </si>
  <si>
    <t>Series A Shares</t>
  </si>
  <si>
    <t>Series Seed Shares</t>
  </si>
  <si>
    <t xml:space="preserve">Text in Blue = </t>
  </si>
  <si>
    <t>For Editing</t>
  </si>
  <si>
    <t>Issued for expansion of ESOP</t>
  </si>
  <si>
    <t>Ordinary Shares</t>
  </si>
  <si>
    <t>Option Pool Goal for upcoming round</t>
  </si>
  <si>
    <t xml:space="preserve">* For illustration purposes only, please consult with your advisors.  
* Numbers are not indicative of recommendations, they are just for illustration purposes. 
* Does not include Convertible Note Conversions.
* Calculations doesn't include any particular currency.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</si>
</sst>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_-;\-* #,##0_-;_-* &quot;-&quot;??_-;_-@_-"/>
    <numFmt numFmtId="166" formatCode="0.0000%"/>
    <numFmt numFmtId="167" formatCode="0.0000"/>
    <numFmt numFmtId="168" formatCode="_-* #,##0.0000_-;\-* #,##0.0000_-;_-* &quot;-&quot;??_-;_-@_-"/>
  </numFmts>
  <fonts count="10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charset val="186"/>
      <scheme val="minor"/>
    </font>
    <font>
      <sz val="12"/>
      <color rgb="FFFF0000"/>
      <name val="Calibri"/>
      <family val="2"/>
      <charset val="186"/>
      <scheme val="minor"/>
    </font>
    <font>
      <sz val="12"/>
      <color theme="0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1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5" fillId="0" borderId="0" xfId="0" applyFont="1"/>
    <xf numFmtId="164" fontId="0" fillId="0" borderId="0" xfId="1" applyFont="1"/>
    <xf numFmtId="0" fontId="0" fillId="0" borderId="0" xfId="0" applyAlignment="1">
      <alignment vertical="center"/>
    </xf>
    <xf numFmtId="0" fontId="2" fillId="0" borderId="6" xfId="0" applyFont="1" applyBorder="1"/>
    <xf numFmtId="0" fontId="2" fillId="2" borderId="1" xfId="0" applyFont="1" applyFill="1" applyBorder="1"/>
    <xf numFmtId="10" fontId="0" fillId="2" borderId="1" xfId="2" applyNumberFormat="1" applyFont="1" applyFill="1" applyBorder="1"/>
    <xf numFmtId="165" fontId="0" fillId="2" borderId="1" xfId="1" applyNumberFormat="1" applyFont="1" applyFill="1" applyBorder="1"/>
    <xf numFmtId="165" fontId="2" fillId="2" borderId="1" xfId="1" applyNumberFormat="1" applyFont="1" applyFill="1" applyBorder="1"/>
    <xf numFmtId="10" fontId="2" fillId="2" borderId="1" xfId="2" applyNumberFormat="1" applyFont="1" applyFill="1" applyBorder="1"/>
    <xf numFmtId="0" fontId="2" fillId="2" borderId="1" xfId="0" applyFont="1" applyFill="1" applyBorder="1" applyAlignment="1">
      <alignment horizontal="left" indent="1"/>
    </xf>
    <xf numFmtId="164" fontId="0" fillId="2" borderId="1" xfId="1" applyFont="1" applyFill="1" applyBorder="1"/>
    <xf numFmtId="167" fontId="0" fillId="2" borderId="1" xfId="1" applyNumberFormat="1" applyFont="1" applyFill="1" applyBorder="1"/>
    <xf numFmtId="0" fontId="2" fillId="2" borderId="2" xfId="0" applyFont="1" applyFill="1" applyBorder="1"/>
    <xf numFmtId="0" fontId="2" fillId="2" borderId="6" xfId="0" applyFont="1" applyFill="1" applyBorder="1"/>
    <xf numFmtId="0" fontId="2" fillId="2" borderId="4" xfId="0" applyFont="1" applyFill="1" applyBorder="1"/>
    <xf numFmtId="10" fontId="2" fillId="2" borderId="3" xfId="0" applyNumberFormat="1" applyFont="1" applyFill="1" applyBorder="1"/>
    <xf numFmtId="10" fontId="2" fillId="2" borderId="7" xfId="0" applyNumberFormat="1" applyFont="1" applyFill="1" applyBorder="1"/>
    <xf numFmtId="10" fontId="2" fillId="2" borderId="5" xfId="0" applyNumberFormat="1" applyFont="1" applyFill="1" applyBorder="1"/>
    <xf numFmtId="0" fontId="2" fillId="2" borderId="8" xfId="0" applyFont="1" applyFill="1" applyBorder="1"/>
    <xf numFmtId="165" fontId="0" fillId="2" borderId="9" xfId="1" applyNumberFormat="1" applyFont="1" applyFill="1" applyBorder="1"/>
    <xf numFmtId="165" fontId="2" fillId="2" borderId="9" xfId="1" applyNumberFormat="1" applyFont="1" applyFill="1" applyBorder="1"/>
    <xf numFmtId="165" fontId="6" fillId="2" borderId="6" xfId="1" applyNumberFormat="1" applyFont="1" applyFill="1" applyBorder="1"/>
    <xf numFmtId="10" fontId="0" fillId="2" borderId="7" xfId="2" applyNumberFormat="1" applyFont="1" applyFill="1" applyBorder="1"/>
    <xf numFmtId="165" fontId="0" fillId="2" borderId="6" xfId="1" applyNumberFormat="1" applyFont="1" applyFill="1" applyBorder="1"/>
    <xf numFmtId="165" fontId="2" fillId="2" borderId="4" xfId="1" applyNumberFormat="1" applyFont="1" applyFill="1" applyBorder="1"/>
    <xf numFmtId="10" fontId="2" fillId="2" borderId="5" xfId="2" applyNumberFormat="1" applyFont="1" applyFill="1" applyBorder="1"/>
    <xf numFmtId="0" fontId="2" fillId="2" borderId="9" xfId="0" applyFont="1" applyFill="1" applyBorder="1"/>
    <xf numFmtId="0" fontId="2" fillId="2" borderId="7" xfId="0" applyFont="1" applyFill="1" applyBorder="1"/>
    <xf numFmtId="165" fontId="2" fillId="2" borderId="13" xfId="1" applyNumberFormat="1" applyFont="1" applyFill="1" applyBorder="1"/>
    <xf numFmtId="164" fontId="0" fillId="2" borderId="3" xfId="1" applyFont="1" applyFill="1" applyBorder="1"/>
    <xf numFmtId="164" fontId="0" fillId="2" borderId="7" xfId="1" applyFont="1" applyFill="1" applyBorder="1"/>
    <xf numFmtId="168" fontId="0" fillId="2" borderId="5" xfId="1" applyNumberFormat="1" applyFont="1" applyFill="1" applyBorder="1"/>
    <xf numFmtId="164" fontId="0" fillId="2" borderId="5" xfId="1" applyFont="1" applyFill="1" applyBorder="1"/>
    <xf numFmtId="164" fontId="7" fillId="3" borderId="7" xfId="1" applyFont="1" applyFill="1" applyBorder="1"/>
    <xf numFmtId="164" fontId="7" fillId="3" borderId="3" xfId="1" applyFont="1" applyFill="1" applyBorder="1"/>
    <xf numFmtId="164" fontId="7" fillId="3" borderId="1" xfId="1" applyFont="1" applyFill="1" applyBorder="1"/>
    <xf numFmtId="0" fontId="6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9" fontId="7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/>
    </xf>
    <xf numFmtId="9" fontId="7" fillId="3" borderId="5" xfId="0" applyNumberFormat="1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</cellXfs>
  <cellStyles count="31">
    <cellStyle name="Comma" xfId="1" builtinId="3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7" sqref="F17"/>
    </sheetView>
  </sheetViews>
  <sheetFormatPr defaultColWidth="11" defaultRowHeight="15.75" outlineLevelCol="1" x14ac:dyDescent="0.25"/>
  <cols>
    <col min="1" max="1" width="17.375" style="1" customWidth="1"/>
    <col min="2" max="2" width="15.125" customWidth="1"/>
    <col min="3" max="3" width="10.75" customWidth="1"/>
    <col min="4" max="4" width="19.875" customWidth="1" outlineLevel="1"/>
    <col min="5" max="5" width="13.125" customWidth="1" outlineLevel="1"/>
    <col min="6" max="6" width="10.875" customWidth="1" outlineLevel="1"/>
    <col min="7" max="7" width="16.5" bestFit="1" customWidth="1"/>
    <col min="8" max="8" width="13.125" bestFit="1" customWidth="1"/>
    <col min="10" max="10" width="20.125" customWidth="1" outlineLevel="1"/>
    <col min="11" max="11" width="13.125" customWidth="1" outlineLevel="1"/>
    <col min="12" max="12" width="11" customWidth="1" outlineLevel="1"/>
    <col min="13" max="13" width="15.875" bestFit="1" customWidth="1"/>
    <col min="14" max="14" width="13.125" bestFit="1" customWidth="1"/>
  </cols>
  <sheetData>
    <row r="1" spans="1:15" s="4" customFormat="1" ht="24.75" customHeight="1" x14ac:dyDescent="0.25">
      <c r="A1" s="39"/>
      <c r="B1" s="50" t="s">
        <v>10</v>
      </c>
      <c r="C1" s="51"/>
      <c r="D1" s="50" t="s">
        <v>9</v>
      </c>
      <c r="E1" s="52"/>
      <c r="F1" s="51"/>
      <c r="G1" s="50" t="s">
        <v>20</v>
      </c>
      <c r="H1" s="52"/>
      <c r="I1" s="51"/>
      <c r="J1" s="53" t="s">
        <v>9</v>
      </c>
      <c r="K1" s="53"/>
      <c r="L1" s="53"/>
      <c r="M1" s="53" t="s">
        <v>15</v>
      </c>
      <c r="N1" s="53"/>
      <c r="O1" s="53"/>
    </row>
    <row r="2" spans="1:15" s="1" customFormat="1" x14ac:dyDescent="0.25">
      <c r="A2" s="39"/>
      <c r="B2" s="15" t="s">
        <v>33</v>
      </c>
      <c r="C2" s="29" t="s">
        <v>27</v>
      </c>
      <c r="D2" s="5" t="s">
        <v>26</v>
      </c>
      <c r="E2" s="6" t="s">
        <v>21</v>
      </c>
      <c r="F2" s="29" t="s">
        <v>27</v>
      </c>
      <c r="G2" s="15" t="s">
        <v>29</v>
      </c>
      <c r="H2" s="6" t="s">
        <v>21</v>
      </c>
      <c r="I2" s="29" t="s">
        <v>27</v>
      </c>
      <c r="J2" s="28" t="s">
        <v>26</v>
      </c>
      <c r="K2" s="6" t="s">
        <v>21</v>
      </c>
      <c r="L2" s="6" t="s">
        <v>27</v>
      </c>
      <c r="M2" s="6" t="s">
        <v>28</v>
      </c>
      <c r="N2" s="6" t="s">
        <v>21</v>
      </c>
      <c r="O2" s="6" t="s">
        <v>27</v>
      </c>
    </row>
    <row r="3" spans="1:15" x14ac:dyDescent="0.25">
      <c r="A3" s="20" t="s">
        <v>0</v>
      </c>
      <c r="B3" s="23">
        <v>2000</v>
      </c>
      <c r="C3" s="24">
        <f>B3/$B$13</f>
        <v>0.2</v>
      </c>
      <c r="D3" s="25"/>
      <c r="E3" s="8">
        <f t="shared" ref="E3:E12" si="0">B3+D3</f>
        <v>2000</v>
      </c>
      <c r="F3" s="24">
        <f ca="1">E3/$E$13</f>
        <v>0.14000700035001751</v>
      </c>
      <c r="G3" s="25"/>
      <c r="H3" s="8">
        <f t="shared" ref="H3:H12" si="1">E3+G3</f>
        <v>2000</v>
      </c>
      <c r="I3" s="24">
        <f ca="1">H3/$H$13</f>
        <v>4.6670089139870259E-2</v>
      </c>
      <c r="J3" s="21"/>
      <c r="K3" s="8">
        <f t="shared" ref="K3:K12" si="2">H3+J3</f>
        <v>2000</v>
      </c>
      <c r="L3" s="7">
        <f ca="1">K3/$K$13</f>
        <v>4.4596071086137314E-2</v>
      </c>
      <c r="M3" s="8"/>
      <c r="N3" s="8">
        <f t="shared" ref="N3:N12" si="3">K3+M3</f>
        <v>2000</v>
      </c>
      <c r="O3" s="7">
        <f ca="1">N3/$N$13</f>
        <v>3.1854742374771046E-2</v>
      </c>
    </row>
    <row r="4" spans="1:15" x14ac:dyDescent="0.25">
      <c r="A4" s="20" t="s">
        <v>1</v>
      </c>
      <c r="B4" s="23">
        <v>3000</v>
      </c>
      <c r="C4" s="24">
        <f t="shared" ref="C4:C13" si="4">B4/$B$13</f>
        <v>0.3</v>
      </c>
      <c r="D4" s="25"/>
      <c r="E4" s="8">
        <f t="shared" si="0"/>
        <v>3000</v>
      </c>
      <c r="F4" s="24">
        <f t="shared" ref="F4:F13" ca="1" si="5">E4/$E$13</f>
        <v>0.21001050052502626</v>
      </c>
      <c r="G4" s="25"/>
      <c r="H4" s="8">
        <f t="shared" si="1"/>
        <v>3000</v>
      </c>
      <c r="I4" s="24">
        <f t="shared" ref="I4:I12" ca="1" si="6">H4/$H$13</f>
        <v>7.0005133709805392E-2</v>
      </c>
      <c r="J4" s="21"/>
      <c r="K4" s="8">
        <f t="shared" si="2"/>
        <v>3000</v>
      </c>
      <c r="L4" s="7">
        <f t="shared" ref="L4:L12" ca="1" si="7">K4/$K$13</f>
        <v>6.6894106629205974E-2</v>
      </c>
      <c r="M4" s="8"/>
      <c r="N4" s="8">
        <f t="shared" si="3"/>
        <v>3000</v>
      </c>
      <c r="O4" s="7">
        <f t="shared" ref="O4:O12" ca="1" si="8">N4/$N$13</f>
        <v>4.7782113562156565E-2</v>
      </c>
    </row>
    <row r="5" spans="1:15" x14ac:dyDescent="0.25">
      <c r="A5" s="20" t="s">
        <v>2</v>
      </c>
      <c r="B5" s="23">
        <v>5000</v>
      </c>
      <c r="C5" s="24">
        <f t="shared" si="4"/>
        <v>0.5</v>
      </c>
      <c r="D5" s="25"/>
      <c r="E5" s="8">
        <f t="shared" si="0"/>
        <v>5000</v>
      </c>
      <c r="F5" s="24">
        <f t="shared" ca="1" si="5"/>
        <v>0.35001750087504374</v>
      </c>
      <c r="G5" s="25"/>
      <c r="H5" s="8">
        <f t="shared" si="1"/>
        <v>5000</v>
      </c>
      <c r="I5" s="24">
        <f t="shared" ca="1" si="6"/>
        <v>0.11667522284967564</v>
      </c>
      <c r="J5" s="21"/>
      <c r="K5" s="8">
        <f t="shared" si="2"/>
        <v>5000</v>
      </c>
      <c r="L5" s="7">
        <f t="shared" ca="1" si="7"/>
        <v>0.11149017771534328</v>
      </c>
      <c r="M5" s="8"/>
      <c r="N5" s="8">
        <f t="shared" si="3"/>
        <v>5000</v>
      </c>
      <c r="O5" s="7">
        <f t="shared" ca="1" si="8"/>
        <v>7.9636855936927611E-2</v>
      </c>
    </row>
    <row r="6" spans="1:15" x14ac:dyDescent="0.25">
      <c r="A6" s="20" t="s">
        <v>3</v>
      </c>
      <c r="B6" s="25"/>
      <c r="C6" s="24">
        <f t="shared" si="4"/>
        <v>0</v>
      </c>
      <c r="D6" s="25">
        <f ca="1">ROUNDDOWN(E15*H13,0)</f>
        <v>4285</v>
      </c>
      <c r="E6" s="8">
        <f t="shared" ca="1" si="0"/>
        <v>4285</v>
      </c>
      <c r="F6" s="24">
        <f t="shared" ca="1" si="5"/>
        <v>0.29996499824991252</v>
      </c>
      <c r="G6" s="25"/>
      <c r="H6" s="8">
        <f t="shared" ca="1" si="1"/>
        <v>4285</v>
      </c>
      <c r="I6" s="24">
        <f t="shared" ca="1" si="6"/>
        <v>9.9990665982172031E-2</v>
      </c>
      <c r="J6" s="21"/>
      <c r="K6" s="8">
        <f t="shared" ca="1" si="2"/>
        <v>4285</v>
      </c>
      <c r="L6" s="7">
        <f t="shared" ca="1" si="7"/>
        <v>9.5547082302049183E-2</v>
      </c>
      <c r="M6" s="8"/>
      <c r="N6" s="8">
        <f t="shared" ca="1" si="3"/>
        <v>4285</v>
      </c>
      <c r="O6" s="7">
        <f t="shared" ca="1" si="8"/>
        <v>6.8248785537946957E-2</v>
      </c>
    </row>
    <row r="7" spans="1:15" x14ac:dyDescent="0.25">
      <c r="A7" s="20" t="s">
        <v>16</v>
      </c>
      <c r="B7" s="25"/>
      <c r="C7" s="24">
        <f t="shared" si="4"/>
        <v>0</v>
      </c>
      <c r="D7" s="25"/>
      <c r="E7" s="8">
        <f t="shared" si="0"/>
        <v>0</v>
      </c>
      <c r="F7" s="24">
        <f t="shared" ca="1" si="5"/>
        <v>0</v>
      </c>
      <c r="G7" s="25"/>
      <c r="H7" s="8">
        <f t="shared" si="1"/>
        <v>0</v>
      </c>
      <c r="I7" s="24">
        <f t="shared" ca="1" si="6"/>
        <v>0</v>
      </c>
      <c r="J7" s="21">
        <f ca="1">ROUNDDOWN(K17*N13,0)</f>
        <v>1993</v>
      </c>
      <c r="K7" s="8">
        <f t="shared" ca="1" si="2"/>
        <v>1993</v>
      </c>
      <c r="L7" s="7">
        <f t="shared" ca="1" si="7"/>
        <v>4.4439984837335827E-2</v>
      </c>
      <c r="M7" s="8"/>
      <c r="N7" s="8">
        <f t="shared" ca="1" si="3"/>
        <v>1993</v>
      </c>
      <c r="O7" s="7">
        <f t="shared" ca="1" si="8"/>
        <v>3.1743250776459349E-2</v>
      </c>
    </row>
    <row r="8" spans="1:15" x14ac:dyDescent="0.25">
      <c r="A8" s="20"/>
      <c r="B8" s="25"/>
      <c r="C8" s="24">
        <f t="shared" si="4"/>
        <v>0</v>
      </c>
      <c r="D8" s="25"/>
      <c r="E8" s="8">
        <f t="shared" si="0"/>
        <v>0</v>
      </c>
      <c r="F8" s="24">
        <f t="shared" ca="1" si="5"/>
        <v>0</v>
      </c>
      <c r="G8" s="25"/>
      <c r="H8" s="8">
        <f t="shared" si="1"/>
        <v>0</v>
      </c>
      <c r="I8" s="24">
        <f t="shared" ca="1" si="6"/>
        <v>0</v>
      </c>
      <c r="J8" s="21"/>
      <c r="K8" s="8">
        <f t="shared" si="2"/>
        <v>0</v>
      </c>
      <c r="L8" s="7">
        <f t="shared" ca="1" si="7"/>
        <v>0</v>
      </c>
      <c r="M8" s="8"/>
      <c r="N8" s="8">
        <f t="shared" si="3"/>
        <v>0</v>
      </c>
      <c r="O8" s="7">
        <f t="shared" ca="1" si="8"/>
        <v>0</v>
      </c>
    </row>
    <row r="9" spans="1:15" x14ac:dyDescent="0.25">
      <c r="A9" s="20" t="s">
        <v>4</v>
      </c>
      <c r="B9" s="25"/>
      <c r="C9" s="24">
        <f t="shared" si="4"/>
        <v>0</v>
      </c>
      <c r="D9" s="25"/>
      <c r="E9" s="8">
        <f t="shared" si="0"/>
        <v>0</v>
      </c>
      <c r="F9" s="24">
        <f t="shared" ca="1" si="5"/>
        <v>0</v>
      </c>
      <c r="G9" s="25">
        <f ca="1">ROUNDDOWN(H20/H18,0)</f>
        <v>10713</v>
      </c>
      <c r="H9" s="8">
        <f t="shared" ca="1" si="1"/>
        <v>10713</v>
      </c>
      <c r="I9" s="24">
        <f t="shared" ca="1" si="6"/>
        <v>0.24998833247771504</v>
      </c>
      <c r="J9" s="21"/>
      <c r="K9" s="8">
        <f t="shared" ca="1" si="2"/>
        <v>10713</v>
      </c>
      <c r="L9" s="7">
        <f t="shared" ca="1" si="7"/>
        <v>0.2388788547728945</v>
      </c>
      <c r="M9" s="8">
        <f ca="1">ROUNDDOWN(N20/N18,0)</f>
        <v>2242</v>
      </c>
      <c r="N9" s="8">
        <f t="shared" ca="1" si="3"/>
        <v>12955</v>
      </c>
      <c r="O9" s="7">
        <f t="shared" ca="1" si="8"/>
        <v>0.20633909373257944</v>
      </c>
    </row>
    <row r="10" spans="1:15" x14ac:dyDescent="0.25">
      <c r="A10" s="20" t="s">
        <v>5</v>
      </c>
      <c r="B10" s="25"/>
      <c r="C10" s="24">
        <f t="shared" si="4"/>
        <v>0</v>
      </c>
      <c r="D10" s="25"/>
      <c r="E10" s="8">
        <f t="shared" si="0"/>
        <v>0</v>
      </c>
      <c r="F10" s="24">
        <f t="shared" ca="1" si="5"/>
        <v>0</v>
      </c>
      <c r="G10" s="25">
        <f ca="1">ROUNDDOWN(H21/H18,0)</f>
        <v>17856</v>
      </c>
      <c r="H10" s="8">
        <f t="shared" ca="1" si="1"/>
        <v>17856</v>
      </c>
      <c r="I10" s="24">
        <f t="shared" ca="1" si="6"/>
        <v>0.41667055584076168</v>
      </c>
      <c r="J10" s="21"/>
      <c r="K10" s="8">
        <f t="shared" ca="1" si="2"/>
        <v>17856</v>
      </c>
      <c r="L10" s="7">
        <f t="shared" ca="1" si="7"/>
        <v>0.39815372265703391</v>
      </c>
      <c r="M10" s="8">
        <f ca="1">ROUNDDOWN(N21/N18,0)</f>
        <v>6727</v>
      </c>
      <c r="N10" s="8">
        <f t="shared" ca="1" si="3"/>
        <v>24583</v>
      </c>
      <c r="O10" s="7">
        <f t="shared" ca="1" si="8"/>
        <v>0.39154256589949826</v>
      </c>
    </row>
    <row r="11" spans="1:15" x14ac:dyDescent="0.25">
      <c r="A11" s="20" t="s">
        <v>6</v>
      </c>
      <c r="B11" s="25"/>
      <c r="C11" s="24">
        <f t="shared" si="4"/>
        <v>0</v>
      </c>
      <c r="D11" s="25"/>
      <c r="E11" s="8">
        <f t="shared" si="0"/>
        <v>0</v>
      </c>
      <c r="F11" s="24">
        <f t="shared" ca="1" si="5"/>
        <v>0</v>
      </c>
      <c r="G11" s="25">
        <f ca="1">ROUNDDOWN(H22/H18,0)</f>
        <v>0</v>
      </c>
      <c r="H11" s="8">
        <f t="shared" ca="1" si="1"/>
        <v>0</v>
      </c>
      <c r="I11" s="24">
        <f t="shared" ca="1" si="6"/>
        <v>0</v>
      </c>
      <c r="J11" s="21"/>
      <c r="K11" s="8">
        <f t="shared" ca="1" si="2"/>
        <v>0</v>
      </c>
      <c r="L11" s="7">
        <f t="shared" ca="1" si="7"/>
        <v>0</v>
      </c>
      <c r="M11" s="8">
        <f ca="1">ROUNDDOWN(N22/N18,0)</f>
        <v>8969</v>
      </c>
      <c r="N11" s="8">
        <f t="shared" ca="1" si="3"/>
        <v>8969</v>
      </c>
      <c r="O11" s="7">
        <f t="shared" ca="1" si="8"/>
        <v>0.14285259217966076</v>
      </c>
    </row>
    <row r="12" spans="1:15" x14ac:dyDescent="0.25">
      <c r="A12" s="20"/>
      <c r="B12" s="25"/>
      <c r="C12" s="24">
        <f t="shared" si="4"/>
        <v>0</v>
      </c>
      <c r="D12" s="25"/>
      <c r="E12" s="8">
        <f t="shared" si="0"/>
        <v>0</v>
      </c>
      <c r="F12" s="24">
        <f t="shared" ca="1" si="5"/>
        <v>0</v>
      </c>
      <c r="G12" s="25"/>
      <c r="H12" s="8">
        <f t="shared" si="1"/>
        <v>0</v>
      </c>
      <c r="I12" s="24">
        <f t="shared" ca="1" si="6"/>
        <v>0</v>
      </c>
      <c r="J12" s="21"/>
      <c r="K12" s="8">
        <f t="shared" si="2"/>
        <v>0</v>
      </c>
      <c r="L12" s="7">
        <f t="shared" ca="1" si="7"/>
        <v>0</v>
      </c>
      <c r="M12" s="8"/>
      <c r="N12" s="8">
        <f t="shared" si="3"/>
        <v>0</v>
      </c>
      <c r="O12" s="7">
        <f t="shared" ca="1" si="8"/>
        <v>0</v>
      </c>
    </row>
    <row r="13" spans="1:15" s="1" customFormat="1" ht="16.5" thickBot="1" x14ac:dyDescent="0.3">
      <c r="A13" s="20" t="s">
        <v>7</v>
      </c>
      <c r="B13" s="26">
        <f>SUM(B3:B12)</f>
        <v>10000</v>
      </c>
      <c r="C13" s="27">
        <f t="shared" si="4"/>
        <v>1</v>
      </c>
      <c r="D13" s="26">
        <f ca="1">SUM(D3:D12)</f>
        <v>4285</v>
      </c>
      <c r="E13" s="30">
        <f ca="1">SUM(E3:E12)</f>
        <v>14285</v>
      </c>
      <c r="F13" s="27">
        <f t="shared" ca="1" si="5"/>
        <v>1</v>
      </c>
      <c r="G13" s="26">
        <f ca="1">SUM(G3:G12)</f>
        <v>28569</v>
      </c>
      <c r="H13" s="30">
        <f t="shared" ref="H13:I13" ca="1" si="9">SUM(H3:H12)</f>
        <v>42854</v>
      </c>
      <c r="I13" s="27">
        <f t="shared" ca="1" si="9"/>
        <v>1</v>
      </c>
      <c r="J13" s="22">
        <f ca="1">SUM(J3:J12)</f>
        <v>1993</v>
      </c>
      <c r="K13" s="9">
        <f t="shared" ref="K13:L13" ca="1" si="10">SUM(K3:K12)</f>
        <v>44847</v>
      </c>
      <c r="L13" s="10">
        <f t="shared" ca="1" si="10"/>
        <v>1</v>
      </c>
      <c r="M13" s="9">
        <f ca="1">SUM(M3:M12)</f>
        <v>17938</v>
      </c>
      <c r="N13" s="9">
        <f t="shared" ref="N13:O13" ca="1" si="11">SUM(N3:N12)</f>
        <v>62785</v>
      </c>
      <c r="O13" s="10">
        <f t="shared" ca="1" si="11"/>
        <v>0.99999999999999989</v>
      </c>
    </row>
    <row r="14" spans="1:15" ht="11.25" customHeight="1" thickBot="1" x14ac:dyDescent="0.3"/>
    <row r="15" spans="1:15" x14ac:dyDescent="0.25">
      <c r="D15" s="46" t="s">
        <v>34</v>
      </c>
      <c r="E15" s="48">
        <v>0.1</v>
      </c>
      <c r="F15" s="1"/>
      <c r="G15" s="14" t="s">
        <v>11</v>
      </c>
      <c r="H15" s="31">
        <f>H17+H16</f>
        <v>300000</v>
      </c>
      <c r="J15" s="41" t="s">
        <v>34</v>
      </c>
      <c r="K15" s="40">
        <v>0.1</v>
      </c>
      <c r="L15" s="1"/>
      <c r="M15" s="6" t="s">
        <v>11</v>
      </c>
      <c r="N15" s="12">
        <f>N17+N16</f>
        <v>1400000</v>
      </c>
    </row>
    <row r="16" spans="1:15" ht="16.5" thickBot="1" x14ac:dyDescent="0.3">
      <c r="D16" s="47"/>
      <c r="E16" s="49"/>
      <c r="G16" s="15" t="s">
        <v>12</v>
      </c>
      <c r="H16" s="32">
        <f>H23</f>
        <v>200000</v>
      </c>
      <c r="J16" s="41"/>
      <c r="K16" s="40"/>
      <c r="M16" s="6" t="s">
        <v>12</v>
      </c>
      <c r="N16" s="12">
        <f>N23</f>
        <v>400000</v>
      </c>
    </row>
    <row r="17" spans="1:15" x14ac:dyDescent="0.25">
      <c r="G17" s="15" t="s">
        <v>13</v>
      </c>
      <c r="H17" s="35">
        <v>100000</v>
      </c>
      <c r="I17" s="1"/>
      <c r="J17" s="41" t="s">
        <v>19</v>
      </c>
      <c r="K17" s="42">
        <f ca="1">K15-O6</f>
        <v>3.1751214462053048E-2</v>
      </c>
      <c r="M17" s="6" t="s">
        <v>13</v>
      </c>
      <c r="N17" s="37">
        <v>1000000</v>
      </c>
      <c r="O17" s="1"/>
    </row>
    <row r="18" spans="1:15" ht="16.5" thickBot="1" x14ac:dyDescent="0.3">
      <c r="G18" s="16" t="s">
        <v>14</v>
      </c>
      <c r="H18" s="33">
        <f ca="1">H17/E13</f>
        <v>7.0003500175008746</v>
      </c>
      <c r="J18" s="41"/>
      <c r="K18" s="42"/>
      <c r="M18" s="6" t="s">
        <v>14</v>
      </c>
      <c r="N18" s="13">
        <f ca="1">N17/K13</f>
        <v>22.298035543068657</v>
      </c>
    </row>
    <row r="19" spans="1:15" ht="16.5" thickBot="1" x14ac:dyDescent="0.3">
      <c r="A19" s="44" t="s">
        <v>22</v>
      </c>
      <c r="B19" s="44"/>
      <c r="C19" s="44"/>
      <c r="G19" s="1"/>
      <c r="H19" s="3"/>
      <c r="M19" s="1"/>
      <c r="N19" s="3"/>
    </row>
    <row r="20" spans="1:15" x14ac:dyDescent="0.25">
      <c r="A20" s="11" t="s">
        <v>23</v>
      </c>
      <c r="B20" s="43" t="s">
        <v>24</v>
      </c>
      <c r="C20" s="43"/>
      <c r="G20" s="14" t="str">
        <f>A9</f>
        <v>Investor 1</v>
      </c>
      <c r="H20" s="36">
        <v>75000</v>
      </c>
      <c r="I20" s="2"/>
      <c r="M20" s="6" t="str">
        <f>A9</f>
        <v>Investor 1</v>
      </c>
      <c r="N20" s="37">
        <v>50000</v>
      </c>
      <c r="O20" s="2"/>
    </row>
    <row r="21" spans="1:15" x14ac:dyDescent="0.25">
      <c r="A21" s="11" t="s">
        <v>25</v>
      </c>
      <c r="B21" s="43" t="s">
        <v>32</v>
      </c>
      <c r="C21" s="43"/>
      <c r="G21" s="15" t="str">
        <f>A10</f>
        <v>Investor 2</v>
      </c>
      <c r="H21" s="35">
        <v>125000</v>
      </c>
      <c r="I21" s="2"/>
      <c r="M21" s="6" t="str">
        <f t="shared" ref="M21:M22" si="12">A10</f>
        <v>Investor 2</v>
      </c>
      <c r="N21" s="37">
        <v>150000</v>
      </c>
      <c r="O21" s="2"/>
    </row>
    <row r="22" spans="1:15" x14ac:dyDescent="0.25">
      <c r="A22" s="11" t="s">
        <v>30</v>
      </c>
      <c r="B22" s="43" t="s">
        <v>31</v>
      </c>
      <c r="C22" s="43"/>
      <c r="G22" s="15" t="str">
        <f>A11</f>
        <v>Investor 3</v>
      </c>
      <c r="H22" s="35">
        <v>0</v>
      </c>
      <c r="I22" s="2"/>
      <c r="M22" s="6" t="str">
        <f t="shared" si="12"/>
        <v>Investor 3</v>
      </c>
      <c r="N22" s="37">
        <v>200000</v>
      </c>
      <c r="O22" s="2"/>
    </row>
    <row r="23" spans="1:15" ht="16.5" thickBot="1" x14ac:dyDescent="0.3">
      <c r="G23" s="16" t="s">
        <v>7</v>
      </c>
      <c r="H23" s="34">
        <f>SUM(H20:H22)</f>
        <v>200000</v>
      </c>
      <c r="M23" s="6" t="s">
        <v>7</v>
      </c>
      <c r="N23" s="12">
        <f>SUM(N20:N22)</f>
        <v>400000</v>
      </c>
    </row>
    <row r="24" spans="1:15" ht="16.5" customHeight="1" thickBot="1" x14ac:dyDescent="0.3">
      <c r="A24" s="45" t="s">
        <v>35</v>
      </c>
      <c r="B24" s="45"/>
      <c r="C24" s="45"/>
      <c r="D24" s="45"/>
      <c r="E24" s="45"/>
    </row>
    <row r="25" spans="1:15" x14ac:dyDescent="0.25">
      <c r="A25" s="45"/>
      <c r="B25" s="45"/>
      <c r="C25" s="45"/>
      <c r="D25" s="45"/>
      <c r="E25" s="45"/>
      <c r="G25" s="14" t="s">
        <v>17</v>
      </c>
      <c r="H25" s="17">
        <f ca="1">SUM(I9:I12)</f>
        <v>0.66665888831847675</v>
      </c>
      <c r="M25" s="14" t="s">
        <v>17</v>
      </c>
      <c r="N25" s="17">
        <f ca="1">SUM(O9:O11)</f>
        <v>0.74073425181173846</v>
      </c>
    </row>
    <row r="26" spans="1:15" x14ac:dyDescent="0.25">
      <c r="A26" s="45"/>
      <c r="B26" s="45"/>
      <c r="C26" s="45"/>
      <c r="D26" s="45"/>
      <c r="E26" s="45"/>
      <c r="G26" s="15" t="s">
        <v>8</v>
      </c>
      <c r="H26" s="18">
        <f ca="1">SUM(I3:I5)</f>
        <v>0.23335044569935132</v>
      </c>
      <c r="M26" s="15" t="s">
        <v>8</v>
      </c>
      <c r="N26" s="18">
        <f ca="1">SUM(O3:O5)</f>
        <v>0.15927371187385522</v>
      </c>
    </row>
    <row r="27" spans="1:15" ht="16.5" thickBot="1" x14ac:dyDescent="0.3">
      <c r="A27" s="45"/>
      <c r="B27" s="45"/>
      <c r="C27" s="45"/>
      <c r="D27" s="45"/>
      <c r="E27" s="45"/>
      <c r="G27" s="16" t="s">
        <v>18</v>
      </c>
      <c r="H27" s="19">
        <f ca="1">SUM(I6:I7)</f>
        <v>9.9990665982172031E-2</v>
      </c>
      <c r="M27" s="16" t="s">
        <v>18</v>
      </c>
      <c r="N27" s="19">
        <f ca="1">SUM(O6:O7)</f>
        <v>9.9992036314406313E-2</v>
      </c>
    </row>
    <row r="29" spans="1:15" ht="60" customHeight="1" x14ac:dyDescent="0.25">
      <c r="F29" s="38"/>
      <c r="G29" s="38"/>
      <c r="H29" s="38"/>
      <c r="I29" s="38"/>
    </row>
  </sheetData>
  <mergeCells count="17">
    <mergeCell ref="A24:E27"/>
    <mergeCell ref="D15:D16"/>
    <mergeCell ref="E15:E16"/>
    <mergeCell ref="J15:J16"/>
    <mergeCell ref="B22:C22"/>
    <mergeCell ref="K15:K16"/>
    <mergeCell ref="J17:J18"/>
    <mergeCell ref="K17:K18"/>
    <mergeCell ref="B20:C20"/>
    <mergeCell ref="B21:C21"/>
    <mergeCell ref="A19:C19"/>
    <mergeCell ref="M1:O1"/>
    <mergeCell ref="A1:A2"/>
    <mergeCell ref="B1:C1"/>
    <mergeCell ref="D1:F1"/>
    <mergeCell ref="G1:I1"/>
    <mergeCell ref="J1:L1"/>
  </mergeCells>
  <pageMargins left="0.25" right="0.25" top="0.75" bottom="0.75" header="0.3" footer="0.3"/>
  <pageSetup paperSize="9" orientation="landscape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Espinal</dc:creator>
  <cp:lastModifiedBy>Donatus</cp:lastModifiedBy>
  <dcterms:created xsi:type="dcterms:W3CDTF">2013-11-09T19:18:43Z</dcterms:created>
  <dcterms:modified xsi:type="dcterms:W3CDTF">2017-04-04T17:42:19Z</dcterms:modified>
</cp:coreProperties>
</file>