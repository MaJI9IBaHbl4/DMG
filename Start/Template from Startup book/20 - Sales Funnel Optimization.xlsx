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I5" i="1" l="1"/>
  <c r="H6" i="1"/>
  <c r="H7" i="1" s="1"/>
  <c r="H8" i="1" s="1"/>
  <c r="H9" i="1" s="1"/>
  <c r="I9" i="1" s="1"/>
  <c r="D17" i="1" l="1"/>
  <c r="D18" i="1"/>
  <c r="I6" i="1"/>
  <c r="I7" i="1"/>
  <c r="I8" i="1"/>
  <c r="J9" i="1" s="1"/>
  <c r="J7" i="1" l="1"/>
  <c r="J6" i="1"/>
  <c r="J8" i="1"/>
  <c r="E5" i="1" l="1"/>
  <c r="F5" i="1" l="1"/>
  <c r="D6" i="1"/>
  <c r="D7" i="1" s="1"/>
  <c r="E7" i="1" l="1"/>
  <c r="D8" i="1"/>
  <c r="D15" i="1" s="1"/>
  <c r="E6" i="1"/>
  <c r="F7" i="1" l="1"/>
  <c r="F6" i="1"/>
  <c r="E8" i="1"/>
  <c r="D9" i="1"/>
  <c r="E9" i="1" l="1"/>
  <c r="F9" i="1" s="1"/>
  <c r="D16" i="1"/>
  <c r="F8" i="1"/>
</calcChain>
</file>

<file path=xl/sharedStrings.xml><?xml version="1.0" encoding="utf-8"?>
<sst xmlns="http://schemas.openxmlformats.org/spreadsheetml/2006/main" count="31" uniqueCount="27">
  <si>
    <t>Stage 1</t>
  </si>
  <si>
    <t>Stage 2</t>
  </si>
  <si>
    <t>Stage 3</t>
  </si>
  <si>
    <t>Stage 4</t>
  </si>
  <si>
    <t>Visiting the website</t>
  </si>
  <si>
    <t>Signup for free trial</t>
  </si>
  <si>
    <t>Activating free trial</t>
  </si>
  <si>
    <t>Buying the product</t>
  </si>
  <si>
    <t>Stage 5</t>
  </si>
  <si>
    <t>Repeat purchase</t>
  </si>
  <si>
    <t>Stage</t>
  </si>
  <si>
    <t>Converted</t>
  </si>
  <si>
    <t>Lost</t>
  </si>
  <si>
    <t>Current one time sales</t>
  </si>
  <si>
    <t>Action in sales funnel</t>
  </si>
  <si>
    <t>If you intend to increase traffic, change this number and you'll see how your estimated sales change</t>
  </si>
  <si>
    <t>Potential customers at first stage (traffic)</t>
  </si>
  <si>
    <t xml:space="preserve">Target one time sales </t>
  </si>
  <si>
    <t xml:space="preserve">Target repeated sales </t>
  </si>
  <si>
    <t xml:space="preserve">Average revenue from one time sales </t>
  </si>
  <si>
    <t>Overall</t>
  </si>
  <si>
    <t>Current repeated sales</t>
  </si>
  <si>
    <t>Average revenue from repeated purchase</t>
  </si>
  <si>
    <t>If you intend to increase average customer lifetime value, change these numbers, to see estimated sales</t>
  </si>
  <si>
    <t>Current Conversion</t>
  </si>
  <si>
    <t>Target Conversion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</si>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</sst>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_-* #,##0\ _€_-;\-* #,##0\ _€_-;_-* &quot;-&quot;??\ _€_-;_-@_-"/>
    <numFmt numFmtId="165" formatCode="0.0%"/>
    <numFmt numFmtId="166" formatCode="_-* #,##0.0\ _€_-;\-* #,##0.0\ _€_-;_-* &quot;-&quot;??\ _€_-;_-@_-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165" fontId="0" fillId="0" borderId="1" xfId="2" applyNumberFormat="1" applyFont="1" applyBorder="1" applyAlignment="1">
      <alignment horizontal="right"/>
    </xf>
    <xf numFmtId="0" fontId="0" fillId="0" borderId="0" xfId="0" applyBorder="1"/>
    <xf numFmtId="0" fontId="3" fillId="0" borderId="0" xfId="0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4" fontId="0" fillId="0" borderId="0" xfId="1" applyNumberFormat="1" applyFont="1" applyBorder="1" applyAlignment="1"/>
    <xf numFmtId="0" fontId="3" fillId="0" borderId="0" xfId="0" applyFont="1" applyFill="1" applyBorder="1"/>
    <xf numFmtId="0" fontId="0" fillId="0" borderId="0" xfId="0" applyFill="1" applyBorder="1"/>
    <xf numFmtId="165" fontId="0" fillId="0" borderId="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64" fontId="0" fillId="0" borderId="0" xfId="0" applyNumberFormat="1" applyFill="1" applyBorder="1" applyAlignment="1"/>
    <xf numFmtId="165" fontId="0" fillId="0" borderId="0" xfId="2" applyNumberFormat="1" applyFont="1" applyFill="1" applyBorder="1" applyAlignment="1">
      <alignment horizontal="right"/>
    </xf>
    <xf numFmtId="165" fontId="0" fillId="3" borderId="1" xfId="2" applyNumberFormat="1" applyFont="1" applyFill="1" applyBorder="1" applyAlignment="1">
      <alignment horizontal="center"/>
    </xf>
    <xf numFmtId="164" fontId="0" fillId="3" borderId="1" xfId="0" applyNumberFormat="1" applyFill="1" applyBorder="1" applyAlignment="1"/>
    <xf numFmtId="166" fontId="0" fillId="3" borderId="1" xfId="0" applyNumberFormat="1" applyFill="1" applyBorder="1" applyAlignment="1"/>
    <xf numFmtId="10" fontId="0" fillId="3" borderId="1" xfId="2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0" fillId="3" borderId="1" xfId="1" applyNumberFormat="1" applyFont="1" applyFill="1" applyBorder="1" applyAlignment="1"/>
    <xf numFmtId="0" fontId="3" fillId="0" borderId="4" xfId="0" applyFont="1" applyBorder="1" applyAlignment="1"/>
    <xf numFmtId="0" fontId="4" fillId="4" borderId="1" xfId="0" applyFont="1" applyFill="1" applyBorder="1" applyAlignment="1">
      <alignment horizontal="center" vertical="center" wrapText="1"/>
    </xf>
    <xf numFmtId="167" fontId="1" fillId="0" borderId="1" xfId="1" applyNumberFormat="1" applyFont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7" fontId="0" fillId="3" borderId="1" xfId="2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2" borderId="9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5" fillId="4" borderId="1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left" wrapText="1"/>
    </xf>
    <xf numFmtId="0" fontId="4" fillId="4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G17" sqref="G17"/>
    </sheetView>
  </sheetViews>
  <sheetFormatPr defaultRowHeight="15" x14ac:dyDescent="0.25"/>
  <cols>
    <col min="1" max="1" width="7.7109375" customWidth="1"/>
    <col min="2" max="2" width="25.42578125" customWidth="1"/>
    <col min="3" max="3" width="12" customWidth="1"/>
    <col min="4" max="4" width="11.85546875" customWidth="1"/>
    <col min="5" max="5" width="13.7109375" customWidth="1"/>
    <col min="6" max="6" width="13.140625" customWidth="1"/>
    <col min="7" max="7" width="10.5703125" customWidth="1"/>
    <col min="8" max="10" width="12" customWidth="1"/>
  </cols>
  <sheetData>
    <row r="1" spans="1:10" x14ac:dyDescent="0.25">
      <c r="H1" s="3"/>
      <c r="I1" s="3"/>
    </row>
    <row r="2" spans="1:10" x14ac:dyDescent="0.25">
      <c r="A2" s="21"/>
      <c r="B2" s="21"/>
      <c r="C2" s="21"/>
      <c r="D2" s="4"/>
      <c r="H2" s="3"/>
      <c r="I2" s="3"/>
    </row>
    <row r="3" spans="1:10" ht="20.25" customHeight="1" x14ac:dyDescent="0.25">
      <c r="A3" s="31" t="s">
        <v>14</v>
      </c>
      <c r="B3" s="32"/>
      <c r="C3" s="39" t="s">
        <v>24</v>
      </c>
      <c r="D3" s="40"/>
      <c r="E3" s="40"/>
      <c r="F3" s="41"/>
      <c r="G3" s="42" t="s">
        <v>25</v>
      </c>
      <c r="H3" s="43"/>
      <c r="I3" s="43"/>
      <c r="J3" s="44"/>
    </row>
    <row r="4" spans="1:10" ht="15.75" customHeight="1" x14ac:dyDescent="0.25">
      <c r="A4" s="33"/>
      <c r="B4" s="34"/>
      <c r="C4" s="17" t="s">
        <v>10</v>
      </c>
      <c r="D4" s="17" t="s">
        <v>20</v>
      </c>
      <c r="E4" s="17" t="s">
        <v>11</v>
      </c>
      <c r="F4" s="17" t="s">
        <v>12</v>
      </c>
      <c r="G4" s="17" t="s">
        <v>10</v>
      </c>
      <c r="H4" s="17" t="s">
        <v>20</v>
      </c>
      <c r="I4" s="22" t="s">
        <v>11</v>
      </c>
      <c r="J4" s="18" t="s">
        <v>12</v>
      </c>
    </row>
    <row r="5" spans="1:10" x14ac:dyDescent="0.25">
      <c r="A5" s="19" t="s">
        <v>0</v>
      </c>
      <c r="B5" s="1" t="s">
        <v>4</v>
      </c>
      <c r="C5" s="5">
        <v>1</v>
      </c>
      <c r="D5" s="13">
        <v>1</v>
      </c>
      <c r="E5" s="14">
        <f>$D$12*D5</f>
        <v>100000</v>
      </c>
      <c r="F5" s="15">
        <f>$D$12-E5</f>
        <v>0</v>
      </c>
      <c r="G5" s="2">
        <v>1</v>
      </c>
      <c r="H5" s="13">
        <v>1</v>
      </c>
      <c r="I5" s="14">
        <f>$D$12*H5</f>
        <v>100000</v>
      </c>
      <c r="J5" s="27" t="s">
        <v>26</v>
      </c>
    </row>
    <row r="6" spans="1:10" x14ac:dyDescent="0.25">
      <c r="A6" s="19" t="s">
        <v>1</v>
      </c>
      <c r="B6" s="1" t="s">
        <v>5</v>
      </c>
      <c r="C6" s="5">
        <v>0.15</v>
      </c>
      <c r="D6" s="16">
        <f>D5*C6</f>
        <v>0.15</v>
      </c>
      <c r="E6" s="14">
        <f t="shared" ref="E6:E9" si="0">$D$12*D6</f>
        <v>15000</v>
      </c>
      <c r="F6" s="14">
        <f>E5-E6</f>
        <v>85000</v>
      </c>
      <c r="G6" s="2">
        <v>0.25</v>
      </c>
      <c r="H6" s="16">
        <f>H5*G6</f>
        <v>0.25</v>
      </c>
      <c r="I6" s="14">
        <f t="shared" ref="I6:I9" si="1">$D$12*H6</f>
        <v>25000</v>
      </c>
      <c r="J6" s="20">
        <f>I5-I6</f>
        <v>75000</v>
      </c>
    </row>
    <row r="7" spans="1:10" x14ac:dyDescent="0.25">
      <c r="A7" s="19" t="s">
        <v>2</v>
      </c>
      <c r="B7" s="1" t="s">
        <v>6</v>
      </c>
      <c r="C7" s="5">
        <v>0.8</v>
      </c>
      <c r="D7" s="16">
        <f>D6*C7</f>
        <v>0.12</v>
      </c>
      <c r="E7" s="14">
        <f t="shared" si="0"/>
        <v>12000</v>
      </c>
      <c r="F7" s="14">
        <f t="shared" ref="F7:F9" si="2">E6-E7</f>
        <v>3000</v>
      </c>
      <c r="G7" s="2">
        <v>0.8</v>
      </c>
      <c r="H7" s="16">
        <f>H6*G7</f>
        <v>0.2</v>
      </c>
      <c r="I7" s="14">
        <f t="shared" si="1"/>
        <v>20000</v>
      </c>
      <c r="J7" s="20">
        <f t="shared" ref="J7:J9" si="3">I6-I7</f>
        <v>5000</v>
      </c>
    </row>
    <row r="8" spans="1:10" x14ac:dyDescent="0.25">
      <c r="A8" s="19" t="s">
        <v>3</v>
      </c>
      <c r="B8" s="1" t="s">
        <v>7</v>
      </c>
      <c r="C8" s="5">
        <v>0.2</v>
      </c>
      <c r="D8" s="16">
        <f>D7*C8</f>
        <v>2.4E-2</v>
      </c>
      <c r="E8" s="14">
        <f t="shared" si="0"/>
        <v>2400</v>
      </c>
      <c r="F8" s="14">
        <f t="shared" si="2"/>
        <v>9600</v>
      </c>
      <c r="G8" s="2">
        <v>0.2</v>
      </c>
      <c r="H8" s="16">
        <f>H7*G8</f>
        <v>4.0000000000000008E-2</v>
      </c>
      <c r="I8" s="14">
        <f t="shared" si="1"/>
        <v>4000.0000000000009</v>
      </c>
      <c r="J8" s="20">
        <f t="shared" si="3"/>
        <v>16000</v>
      </c>
    </row>
    <row r="9" spans="1:10" x14ac:dyDescent="0.25">
      <c r="A9" s="19" t="s">
        <v>8</v>
      </c>
      <c r="B9" s="1" t="s">
        <v>9</v>
      </c>
      <c r="C9" s="5">
        <v>0.4</v>
      </c>
      <c r="D9" s="16">
        <f>D8*C9</f>
        <v>9.6000000000000009E-3</v>
      </c>
      <c r="E9" s="14">
        <f t="shared" si="0"/>
        <v>960.00000000000011</v>
      </c>
      <c r="F9" s="14">
        <f t="shared" si="2"/>
        <v>1440</v>
      </c>
      <c r="G9" s="2">
        <v>0.4</v>
      </c>
      <c r="H9" s="16">
        <f>H8*G9</f>
        <v>1.6000000000000004E-2</v>
      </c>
      <c r="I9" s="14">
        <f t="shared" si="1"/>
        <v>1600.0000000000005</v>
      </c>
      <c r="J9" s="20">
        <f t="shared" si="3"/>
        <v>2400.0000000000005</v>
      </c>
    </row>
    <row r="10" spans="1:10" x14ac:dyDescent="0.25">
      <c r="A10" s="7"/>
      <c r="B10" s="8"/>
      <c r="C10" s="9"/>
      <c r="D10" s="10"/>
      <c r="E10" s="11"/>
      <c r="F10" s="11"/>
      <c r="G10" s="11"/>
      <c r="H10" s="12"/>
      <c r="I10" s="12"/>
      <c r="J10" s="6"/>
    </row>
    <row r="12" spans="1:10" ht="30" customHeight="1" x14ac:dyDescent="0.25">
      <c r="B12" s="35" t="s">
        <v>16</v>
      </c>
      <c r="C12" s="35"/>
      <c r="D12" s="23">
        <v>100000</v>
      </c>
      <c r="E12" s="28" t="s">
        <v>15</v>
      </c>
      <c r="F12" s="38"/>
      <c r="G12" s="38"/>
      <c r="H12" s="38"/>
      <c r="I12" s="38"/>
      <c r="J12" s="38"/>
    </row>
    <row r="13" spans="1:10" x14ac:dyDescent="0.25">
      <c r="B13" s="30" t="s">
        <v>19</v>
      </c>
      <c r="C13" s="30"/>
      <c r="D13" s="24">
        <v>250</v>
      </c>
      <c r="E13" s="28" t="s">
        <v>23</v>
      </c>
      <c r="F13" s="29"/>
      <c r="G13" s="29"/>
      <c r="H13" s="29"/>
      <c r="I13" s="29"/>
      <c r="J13" s="29"/>
    </row>
    <row r="14" spans="1:10" x14ac:dyDescent="0.25">
      <c r="B14" s="36" t="s">
        <v>22</v>
      </c>
      <c r="C14" s="37"/>
      <c r="D14" s="24">
        <v>75</v>
      </c>
      <c r="E14" s="28"/>
      <c r="F14" s="29"/>
      <c r="G14" s="29"/>
      <c r="H14" s="29"/>
      <c r="I14" s="29"/>
      <c r="J14" s="29"/>
    </row>
    <row r="15" spans="1:10" x14ac:dyDescent="0.25">
      <c r="B15" s="30" t="s">
        <v>13</v>
      </c>
      <c r="C15" s="30"/>
      <c r="D15" s="25">
        <f>D13*D12*D8</f>
        <v>600000</v>
      </c>
    </row>
    <row r="16" spans="1:10" x14ac:dyDescent="0.25">
      <c r="B16" s="36" t="s">
        <v>21</v>
      </c>
      <c r="C16" s="37"/>
      <c r="D16" s="25">
        <f>D12*D9*D14</f>
        <v>72000.000000000015</v>
      </c>
    </row>
    <row r="17" spans="2:4" x14ac:dyDescent="0.25">
      <c r="B17" s="30" t="s">
        <v>17</v>
      </c>
      <c r="C17" s="30"/>
      <c r="D17" s="26">
        <f>H8*D12*D13</f>
        <v>1000000.0000000002</v>
      </c>
    </row>
    <row r="18" spans="2:4" x14ac:dyDescent="0.25">
      <c r="B18" s="30" t="s">
        <v>18</v>
      </c>
      <c r="C18" s="30"/>
      <c r="D18" s="26">
        <f>H9*D12*D14</f>
        <v>120000.00000000003</v>
      </c>
    </row>
  </sheetData>
  <mergeCells count="12">
    <mergeCell ref="E13:J14"/>
    <mergeCell ref="B18:C18"/>
    <mergeCell ref="A3:B4"/>
    <mergeCell ref="B12:C12"/>
    <mergeCell ref="B13:C13"/>
    <mergeCell ref="B15:C15"/>
    <mergeCell ref="B17:C17"/>
    <mergeCell ref="B16:C16"/>
    <mergeCell ref="B14:C14"/>
    <mergeCell ref="E12:J12"/>
    <mergeCell ref="C3:F3"/>
    <mergeCell ref="G3:J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2017-04-09T14:25:38Z</dcterms:modified>
</cp:coreProperties>
</file>