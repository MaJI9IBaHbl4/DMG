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/>
  <bookViews>
    <workbookView xWindow="1245" yWindow="855" windowWidth="20730" windowHeight="11760" tabRatio="147"/>
  </bookViews>
  <sheets>
    <sheet name="Budget" sheetId="1" r:id="rId1"/>
  </sheets>
  <calcPr calcId="1456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1" i="1" l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C33" i="1"/>
  <c r="B33" i="1"/>
  <c r="C26" i="1"/>
  <c r="B26" i="1"/>
  <c r="R28" i="1"/>
  <c r="S28" i="1"/>
  <c r="T28" i="1"/>
  <c r="U28" i="1"/>
  <c r="V28" i="1"/>
  <c r="W28" i="1"/>
  <c r="X28" i="1"/>
  <c r="Y28" i="1"/>
  <c r="Z28" i="1"/>
  <c r="AA28" i="1"/>
  <c r="AB28" i="1"/>
  <c r="Q28" i="1"/>
  <c r="F28" i="1"/>
  <c r="G28" i="1"/>
  <c r="H28" i="1"/>
  <c r="I28" i="1"/>
  <c r="J28" i="1"/>
  <c r="K28" i="1"/>
  <c r="L28" i="1"/>
  <c r="M28" i="1"/>
  <c r="N28" i="1"/>
  <c r="O28" i="1"/>
  <c r="P28" i="1"/>
  <c r="E28" i="1"/>
  <c r="E27" i="1" l="1"/>
  <c r="E29" i="1"/>
  <c r="E3" i="1"/>
  <c r="E4" i="1"/>
  <c r="E5" i="1"/>
  <c r="E6" i="1"/>
  <c r="E7" i="1"/>
  <c r="E30" i="1"/>
  <c r="E31" i="1"/>
  <c r="E32" i="1"/>
  <c r="E35" i="1"/>
  <c r="E36" i="1"/>
  <c r="E18" i="1"/>
  <c r="E19" i="1"/>
  <c r="E21" i="1"/>
  <c r="E22" i="1"/>
  <c r="E41" i="1"/>
  <c r="F27" i="1"/>
  <c r="F29" i="1"/>
  <c r="F3" i="1"/>
  <c r="F4" i="1"/>
  <c r="F5" i="1"/>
  <c r="F6" i="1"/>
  <c r="F7" i="1"/>
  <c r="F30" i="1"/>
  <c r="F31" i="1"/>
  <c r="F32" i="1"/>
  <c r="F35" i="1"/>
  <c r="F36" i="1"/>
  <c r="F18" i="1"/>
  <c r="F19" i="1"/>
  <c r="F21" i="1"/>
  <c r="F22" i="1"/>
  <c r="G27" i="1"/>
  <c r="G29" i="1"/>
  <c r="G3" i="1"/>
  <c r="G4" i="1"/>
  <c r="G5" i="1"/>
  <c r="G6" i="1"/>
  <c r="G7" i="1"/>
  <c r="G30" i="1"/>
  <c r="G31" i="1"/>
  <c r="G32" i="1"/>
  <c r="G35" i="1"/>
  <c r="G36" i="1"/>
  <c r="G18" i="1"/>
  <c r="G19" i="1"/>
  <c r="G21" i="1"/>
  <c r="G22" i="1"/>
  <c r="H27" i="1"/>
  <c r="H29" i="1"/>
  <c r="H3" i="1"/>
  <c r="H4" i="1"/>
  <c r="H5" i="1"/>
  <c r="H6" i="1"/>
  <c r="H7" i="1"/>
  <c r="H8" i="1"/>
  <c r="H9" i="1"/>
  <c r="H30" i="1"/>
  <c r="H31" i="1"/>
  <c r="H32" i="1"/>
  <c r="H35" i="1"/>
  <c r="H36" i="1"/>
  <c r="H18" i="1"/>
  <c r="H19" i="1"/>
  <c r="H21" i="1"/>
  <c r="H22" i="1"/>
  <c r="I27" i="1"/>
  <c r="I29" i="1"/>
  <c r="I3" i="1"/>
  <c r="I4" i="1"/>
  <c r="I5" i="1"/>
  <c r="I6" i="1"/>
  <c r="I7" i="1"/>
  <c r="I8" i="1"/>
  <c r="I9" i="1"/>
  <c r="I30" i="1"/>
  <c r="I31" i="1"/>
  <c r="I32" i="1"/>
  <c r="I35" i="1"/>
  <c r="I36" i="1"/>
  <c r="I18" i="1"/>
  <c r="I19" i="1"/>
  <c r="I21" i="1"/>
  <c r="I22" i="1"/>
  <c r="J27" i="1"/>
  <c r="J29" i="1"/>
  <c r="J3" i="1"/>
  <c r="J4" i="1"/>
  <c r="J5" i="1"/>
  <c r="J6" i="1"/>
  <c r="J7" i="1"/>
  <c r="J8" i="1"/>
  <c r="J9" i="1"/>
  <c r="J30" i="1"/>
  <c r="J31" i="1"/>
  <c r="J32" i="1"/>
  <c r="J35" i="1"/>
  <c r="J36" i="1"/>
  <c r="J18" i="1"/>
  <c r="J19" i="1"/>
  <c r="J21" i="1"/>
  <c r="J22" i="1"/>
  <c r="K27" i="1"/>
  <c r="K29" i="1"/>
  <c r="K3" i="1"/>
  <c r="K4" i="1"/>
  <c r="K5" i="1"/>
  <c r="K6" i="1"/>
  <c r="K7" i="1"/>
  <c r="K8" i="1"/>
  <c r="K9" i="1"/>
  <c r="K10" i="1"/>
  <c r="K30" i="1"/>
  <c r="K31" i="1"/>
  <c r="K32" i="1"/>
  <c r="K35" i="1"/>
  <c r="K36" i="1"/>
  <c r="K18" i="1"/>
  <c r="K19" i="1"/>
  <c r="K21" i="1"/>
  <c r="K22" i="1"/>
  <c r="L27" i="1"/>
  <c r="L29" i="1"/>
  <c r="L3" i="1"/>
  <c r="L4" i="1"/>
  <c r="L5" i="1"/>
  <c r="L6" i="1"/>
  <c r="L7" i="1"/>
  <c r="L8" i="1"/>
  <c r="L9" i="1"/>
  <c r="L10" i="1"/>
  <c r="L30" i="1"/>
  <c r="L31" i="1"/>
  <c r="L32" i="1"/>
  <c r="L35" i="1"/>
  <c r="L36" i="1"/>
  <c r="L18" i="1"/>
  <c r="L19" i="1"/>
  <c r="L21" i="1"/>
  <c r="L22" i="1"/>
  <c r="M27" i="1"/>
  <c r="M29" i="1"/>
  <c r="M3" i="1"/>
  <c r="M4" i="1"/>
  <c r="M5" i="1"/>
  <c r="M6" i="1"/>
  <c r="M7" i="1"/>
  <c r="M8" i="1"/>
  <c r="M9" i="1"/>
  <c r="M10" i="1"/>
  <c r="M30" i="1"/>
  <c r="M31" i="1"/>
  <c r="M32" i="1"/>
  <c r="M35" i="1"/>
  <c r="M36" i="1"/>
  <c r="M18" i="1"/>
  <c r="M19" i="1"/>
  <c r="M21" i="1"/>
  <c r="M22" i="1"/>
  <c r="N27" i="1"/>
  <c r="N29" i="1"/>
  <c r="N3" i="1"/>
  <c r="N4" i="1"/>
  <c r="N5" i="1"/>
  <c r="N6" i="1"/>
  <c r="N7" i="1"/>
  <c r="N8" i="1"/>
  <c r="N9" i="1"/>
  <c r="N10" i="1"/>
  <c r="N30" i="1"/>
  <c r="N31" i="1"/>
  <c r="N32" i="1"/>
  <c r="N35" i="1"/>
  <c r="N36" i="1"/>
  <c r="N18" i="1"/>
  <c r="N19" i="1"/>
  <c r="N21" i="1"/>
  <c r="N22" i="1"/>
  <c r="O27" i="1"/>
  <c r="O29" i="1"/>
  <c r="O3" i="1"/>
  <c r="O4" i="1"/>
  <c r="O5" i="1"/>
  <c r="O6" i="1"/>
  <c r="O7" i="1"/>
  <c r="O8" i="1"/>
  <c r="O9" i="1"/>
  <c r="O10" i="1"/>
  <c r="O30" i="1"/>
  <c r="O31" i="1"/>
  <c r="O32" i="1"/>
  <c r="O35" i="1"/>
  <c r="O36" i="1"/>
  <c r="O18" i="1"/>
  <c r="O19" i="1"/>
  <c r="O21" i="1"/>
  <c r="O22" i="1"/>
  <c r="P27" i="1"/>
  <c r="P29" i="1"/>
  <c r="P3" i="1"/>
  <c r="P4" i="1"/>
  <c r="P5" i="1"/>
  <c r="P6" i="1"/>
  <c r="P7" i="1"/>
  <c r="P8" i="1"/>
  <c r="P9" i="1"/>
  <c r="P10" i="1"/>
  <c r="P30" i="1"/>
  <c r="P31" i="1"/>
  <c r="P32" i="1"/>
  <c r="P35" i="1"/>
  <c r="P36" i="1"/>
  <c r="P18" i="1"/>
  <c r="P19" i="1"/>
  <c r="P21" i="1"/>
  <c r="P22" i="1"/>
  <c r="Q27" i="1"/>
  <c r="Q29" i="1"/>
  <c r="Q3" i="1"/>
  <c r="Q4" i="1"/>
  <c r="Q5" i="1"/>
  <c r="Q6" i="1"/>
  <c r="Q7" i="1"/>
  <c r="Q8" i="1"/>
  <c r="Q9" i="1"/>
  <c r="Q10" i="1"/>
  <c r="Q30" i="1"/>
  <c r="Q31" i="1"/>
  <c r="Q32" i="1"/>
  <c r="Q35" i="1"/>
  <c r="Q36" i="1"/>
  <c r="Q18" i="1"/>
  <c r="Q19" i="1"/>
  <c r="Q21" i="1"/>
  <c r="Q22" i="1"/>
  <c r="R27" i="1"/>
  <c r="R29" i="1"/>
  <c r="R30" i="1"/>
  <c r="R31" i="1"/>
  <c r="R3" i="1"/>
  <c r="R4" i="1"/>
  <c r="R5" i="1"/>
  <c r="R6" i="1"/>
  <c r="R7" i="1"/>
  <c r="R8" i="1"/>
  <c r="R9" i="1"/>
  <c r="R10" i="1"/>
  <c r="R32" i="1"/>
  <c r="R35" i="1"/>
  <c r="R36" i="1"/>
  <c r="R18" i="1"/>
  <c r="R19" i="1"/>
  <c r="R21" i="1"/>
  <c r="R22" i="1"/>
  <c r="S27" i="1"/>
  <c r="S29" i="1"/>
  <c r="S30" i="1"/>
  <c r="S31" i="1"/>
  <c r="S3" i="1"/>
  <c r="S4" i="1"/>
  <c r="S5" i="1"/>
  <c r="S6" i="1"/>
  <c r="S7" i="1"/>
  <c r="S8" i="1"/>
  <c r="S9" i="1"/>
  <c r="S10" i="1"/>
  <c r="S32" i="1"/>
  <c r="S35" i="1"/>
  <c r="S36" i="1"/>
  <c r="S18" i="1"/>
  <c r="S19" i="1"/>
  <c r="S21" i="1"/>
  <c r="S22" i="1"/>
  <c r="T27" i="1"/>
  <c r="T29" i="1"/>
  <c r="T30" i="1"/>
  <c r="T31" i="1"/>
  <c r="T3" i="1"/>
  <c r="T4" i="1"/>
  <c r="T5" i="1"/>
  <c r="T6" i="1"/>
  <c r="T7" i="1"/>
  <c r="T8" i="1"/>
  <c r="T9" i="1"/>
  <c r="T10" i="1"/>
  <c r="T32" i="1"/>
  <c r="T35" i="1"/>
  <c r="T36" i="1"/>
  <c r="T18" i="1"/>
  <c r="T19" i="1"/>
  <c r="T21" i="1"/>
  <c r="T22" i="1"/>
  <c r="U27" i="1"/>
  <c r="U29" i="1"/>
  <c r="U30" i="1"/>
  <c r="U31" i="1"/>
  <c r="U3" i="1"/>
  <c r="U4" i="1"/>
  <c r="U5" i="1"/>
  <c r="U6" i="1"/>
  <c r="U7" i="1"/>
  <c r="U8" i="1"/>
  <c r="U9" i="1"/>
  <c r="U10" i="1"/>
  <c r="U32" i="1"/>
  <c r="U35" i="1"/>
  <c r="U36" i="1"/>
  <c r="U18" i="1"/>
  <c r="U19" i="1"/>
  <c r="U21" i="1"/>
  <c r="U22" i="1"/>
  <c r="V27" i="1"/>
  <c r="V29" i="1"/>
  <c r="V30" i="1"/>
  <c r="V31" i="1"/>
  <c r="V3" i="1"/>
  <c r="V4" i="1"/>
  <c r="V5" i="1"/>
  <c r="V6" i="1"/>
  <c r="V7" i="1"/>
  <c r="V8" i="1"/>
  <c r="V9" i="1"/>
  <c r="V10" i="1"/>
  <c r="V32" i="1"/>
  <c r="V35" i="1"/>
  <c r="V36" i="1"/>
  <c r="V18" i="1"/>
  <c r="V19" i="1"/>
  <c r="V21" i="1"/>
  <c r="V22" i="1"/>
  <c r="W27" i="1"/>
  <c r="W29" i="1"/>
  <c r="W30" i="1"/>
  <c r="W31" i="1"/>
  <c r="W3" i="1"/>
  <c r="W4" i="1"/>
  <c r="W5" i="1"/>
  <c r="W6" i="1"/>
  <c r="W7" i="1"/>
  <c r="W8" i="1"/>
  <c r="W9" i="1"/>
  <c r="W10" i="1"/>
  <c r="W32" i="1"/>
  <c r="W35" i="1"/>
  <c r="W36" i="1"/>
  <c r="W18" i="1"/>
  <c r="W19" i="1"/>
  <c r="W21" i="1"/>
  <c r="W22" i="1"/>
  <c r="X27" i="1"/>
  <c r="X29" i="1"/>
  <c r="X30" i="1"/>
  <c r="X31" i="1"/>
  <c r="X3" i="1"/>
  <c r="X4" i="1"/>
  <c r="X5" i="1"/>
  <c r="X6" i="1"/>
  <c r="X7" i="1"/>
  <c r="X8" i="1"/>
  <c r="X9" i="1"/>
  <c r="X10" i="1"/>
  <c r="X32" i="1"/>
  <c r="X35" i="1"/>
  <c r="X36" i="1"/>
  <c r="X18" i="1"/>
  <c r="X19" i="1"/>
  <c r="X21" i="1"/>
  <c r="X22" i="1"/>
  <c r="Y27" i="1"/>
  <c r="Y29" i="1"/>
  <c r="Y30" i="1"/>
  <c r="Y31" i="1"/>
  <c r="Y3" i="1"/>
  <c r="Y4" i="1"/>
  <c r="Y5" i="1"/>
  <c r="Y6" i="1"/>
  <c r="Y7" i="1"/>
  <c r="Y8" i="1"/>
  <c r="Y9" i="1"/>
  <c r="Y10" i="1"/>
  <c r="Y32" i="1"/>
  <c r="Y35" i="1"/>
  <c r="Y36" i="1"/>
  <c r="Y18" i="1"/>
  <c r="Y19" i="1"/>
  <c r="Y21" i="1"/>
  <c r="Y22" i="1"/>
  <c r="Z27" i="1"/>
  <c r="Z29" i="1"/>
  <c r="Z30" i="1"/>
  <c r="Z31" i="1"/>
  <c r="Z3" i="1"/>
  <c r="Z4" i="1"/>
  <c r="Z5" i="1"/>
  <c r="Z6" i="1"/>
  <c r="Z7" i="1"/>
  <c r="Z8" i="1"/>
  <c r="Z9" i="1"/>
  <c r="Z10" i="1"/>
  <c r="Z32" i="1"/>
  <c r="Z35" i="1"/>
  <c r="Z36" i="1"/>
  <c r="Z18" i="1"/>
  <c r="Z19" i="1"/>
  <c r="Z21" i="1"/>
  <c r="Z22" i="1"/>
  <c r="AA27" i="1"/>
  <c r="AA29" i="1"/>
  <c r="AA30" i="1"/>
  <c r="AA31" i="1"/>
  <c r="AA3" i="1"/>
  <c r="AA4" i="1"/>
  <c r="AA5" i="1"/>
  <c r="AA6" i="1"/>
  <c r="AA7" i="1"/>
  <c r="AA8" i="1"/>
  <c r="AA9" i="1"/>
  <c r="AA10" i="1"/>
  <c r="AA32" i="1"/>
  <c r="AA35" i="1"/>
  <c r="AA36" i="1"/>
  <c r="AA18" i="1"/>
  <c r="AA19" i="1"/>
  <c r="AA21" i="1"/>
  <c r="AA22" i="1"/>
  <c r="AB27" i="1"/>
  <c r="AB29" i="1"/>
  <c r="AB30" i="1"/>
  <c r="AB31" i="1"/>
  <c r="AB3" i="1"/>
  <c r="AB4" i="1"/>
  <c r="AB5" i="1"/>
  <c r="AB6" i="1"/>
  <c r="AB7" i="1"/>
  <c r="AB8" i="1"/>
  <c r="AB9" i="1"/>
  <c r="AB10" i="1"/>
  <c r="AB32" i="1"/>
  <c r="AB35" i="1"/>
  <c r="AB36" i="1"/>
  <c r="AB18" i="1"/>
  <c r="AB19" i="1"/>
  <c r="AB21" i="1"/>
  <c r="AB22" i="1"/>
  <c r="Z13" i="1" l="1"/>
  <c r="E13" i="1"/>
  <c r="E34" i="1"/>
  <c r="G13" i="1"/>
  <c r="G14" i="1" s="1"/>
  <c r="Q20" i="1"/>
  <c r="Q23" i="1" s="1"/>
  <c r="H20" i="1"/>
  <c r="H23" i="1" s="1"/>
  <c r="S20" i="1"/>
  <c r="S23" i="1" s="1"/>
  <c r="J13" i="1"/>
  <c r="J14" i="1" s="1"/>
  <c r="J15" i="1" s="1"/>
  <c r="V13" i="1"/>
  <c r="V14" i="1" s="1"/>
  <c r="R13" i="1"/>
  <c r="R14" i="1" s="1"/>
  <c r="R15" i="1" s="1"/>
  <c r="L34" i="1"/>
  <c r="L37" i="1" s="1"/>
  <c r="K20" i="1"/>
  <c r="K23" i="1" s="1"/>
  <c r="F34" i="1"/>
  <c r="F37" i="1" s="1"/>
  <c r="P20" i="1"/>
  <c r="P23" i="1" s="1"/>
  <c r="AB13" i="1"/>
  <c r="AB14" i="1" s="1"/>
  <c r="AB15" i="1" s="1"/>
  <c r="AA34" i="1"/>
  <c r="AA37" i="1" s="1"/>
  <c r="X13" i="1"/>
  <c r="X14" i="1" s="1"/>
  <c r="T13" i="1"/>
  <c r="T14" i="1" s="1"/>
  <c r="O34" i="1"/>
  <c r="O37" i="1" s="1"/>
  <c r="M20" i="1"/>
  <c r="M23" i="1" s="1"/>
  <c r="H34" i="1"/>
  <c r="H37" i="1" s="1"/>
  <c r="M34" i="1"/>
  <c r="M37" i="1" s="1"/>
  <c r="Y13" i="1"/>
  <c r="Y14" i="1" s="1"/>
  <c r="U13" i="1"/>
  <c r="U14" i="1" s="1"/>
  <c r="R20" i="1"/>
  <c r="R23" i="1" s="1"/>
  <c r="O20" i="1"/>
  <c r="O23" i="1" s="1"/>
  <c r="AA13" i="1"/>
  <c r="AA14" i="1" s="1"/>
  <c r="AA15" i="1" s="1"/>
  <c r="Z34" i="1"/>
  <c r="Z37" i="1" s="1"/>
  <c r="S13" i="1"/>
  <c r="S14" i="1" s="1"/>
  <c r="Q13" i="1"/>
  <c r="Q14" i="1" s="1"/>
  <c r="Q15" i="1" s="1"/>
  <c r="N13" i="1"/>
  <c r="N14" i="1" s="1"/>
  <c r="I13" i="1"/>
  <c r="I14" i="1" s="1"/>
  <c r="I15" i="1" s="1"/>
  <c r="W34" i="1"/>
  <c r="W37" i="1" s="1"/>
  <c r="Y34" i="1"/>
  <c r="Y37" i="1" s="1"/>
  <c r="U34" i="1"/>
  <c r="U37" i="1" s="1"/>
  <c r="R34" i="1"/>
  <c r="R37" i="1" s="1"/>
  <c r="L13" i="1"/>
  <c r="L14" i="1" s="1"/>
  <c r="L15" i="1" s="1"/>
  <c r="P34" i="1"/>
  <c r="P37" i="1" s="1"/>
  <c r="O13" i="1"/>
  <c r="O14" i="1" s="1"/>
  <c r="O15" i="1" s="1"/>
  <c r="AB34" i="1"/>
  <c r="AB37" i="1" s="1"/>
  <c r="Z20" i="1"/>
  <c r="Z23" i="1" s="1"/>
  <c r="W13" i="1"/>
  <c r="W14" i="1" s="1"/>
  <c r="I20" i="1"/>
  <c r="I23" i="1" s="1"/>
  <c r="I34" i="1"/>
  <c r="I37" i="1" s="1"/>
  <c r="H13" i="1"/>
  <c r="G34" i="1"/>
  <c r="G37" i="1" s="1"/>
  <c r="E37" i="1"/>
  <c r="E14" i="1"/>
  <c r="AB20" i="1"/>
  <c r="AB23" i="1" s="1"/>
  <c r="S34" i="1"/>
  <c r="S37" i="1" s="1"/>
  <c r="P13" i="1"/>
  <c r="P14" i="1" s="1"/>
  <c r="P15" i="1" s="1"/>
  <c r="N34" i="1"/>
  <c r="N37" i="1" s="1"/>
  <c r="N20" i="1"/>
  <c r="N23" i="1" s="1"/>
  <c r="M13" i="1"/>
  <c r="M14" i="1" s="1"/>
  <c r="L20" i="1"/>
  <c r="L23" i="1" s="1"/>
  <c r="K13" i="1"/>
  <c r="K14" i="1" s="1"/>
  <c r="K34" i="1"/>
  <c r="K37" i="1" s="1"/>
  <c r="J20" i="1"/>
  <c r="J23" i="1" s="1"/>
  <c r="G20" i="1"/>
  <c r="G23" i="1" s="1"/>
  <c r="F13" i="1"/>
  <c r="F14" i="1" s="1"/>
  <c r="F15" i="1" s="1"/>
  <c r="E20" i="1"/>
  <c r="E23" i="1" s="1"/>
  <c r="Z14" i="1"/>
  <c r="Z15" i="1" s="1"/>
  <c r="X34" i="1"/>
  <c r="X37" i="1" s="1"/>
  <c r="V34" i="1"/>
  <c r="V37" i="1" s="1"/>
  <c r="T20" i="1"/>
  <c r="T23" i="1" s="1"/>
  <c r="T34" i="1"/>
  <c r="T37" i="1" s="1"/>
  <c r="Q34" i="1"/>
  <c r="Q37" i="1" s="1"/>
  <c r="F20" i="1"/>
  <c r="F23" i="1" s="1"/>
  <c r="AA20" i="1"/>
  <c r="AA23" i="1" s="1"/>
  <c r="Y20" i="1"/>
  <c r="Y23" i="1" s="1"/>
  <c r="X20" i="1"/>
  <c r="X23" i="1" s="1"/>
  <c r="W20" i="1"/>
  <c r="W23" i="1" s="1"/>
  <c r="V20" i="1"/>
  <c r="V23" i="1" s="1"/>
  <c r="U20" i="1"/>
  <c r="U23" i="1" s="1"/>
  <c r="J34" i="1"/>
  <c r="J37" i="1" s="1"/>
  <c r="G15" i="1"/>
  <c r="AC13" i="1" l="1"/>
  <c r="T15" i="1"/>
  <c r="S15" i="1"/>
  <c r="S39" i="1" s="1"/>
  <c r="S42" i="1" s="1"/>
  <c r="V15" i="1"/>
  <c r="V39" i="1" s="1"/>
  <c r="V42" i="1" s="1"/>
  <c r="X15" i="1"/>
  <c r="X39" i="1" s="1"/>
  <c r="X42" i="1" s="1"/>
  <c r="Y15" i="1"/>
  <c r="Y39" i="1" s="1"/>
  <c r="Y42" i="1" s="1"/>
  <c r="Q39" i="1"/>
  <c r="Q42" i="1" s="1"/>
  <c r="O39" i="1"/>
  <c r="O42" i="1" s="1"/>
  <c r="K15" i="1"/>
  <c r="Z39" i="1"/>
  <c r="Z42" i="1" s="1"/>
  <c r="H14" i="1"/>
  <c r="H15" i="1" s="1"/>
  <c r="P39" i="1"/>
  <c r="P42" i="1" s="1"/>
  <c r="U15" i="1"/>
  <c r="U39" i="1" s="1"/>
  <c r="U42" i="1" s="1"/>
  <c r="AE13" i="1"/>
  <c r="T39" i="1"/>
  <c r="T42" i="1" s="1"/>
  <c r="R39" i="1"/>
  <c r="R42" i="1" s="1"/>
  <c r="F39" i="1"/>
  <c r="F42" i="1" s="1"/>
  <c r="AC23" i="1"/>
  <c r="I39" i="1"/>
  <c r="I42" i="1" s="1"/>
  <c r="L39" i="1"/>
  <c r="L42" i="1" s="1"/>
  <c r="K39" i="1"/>
  <c r="K42" i="1" s="1"/>
  <c r="M15" i="1"/>
  <c r="M39" i="1" s="1"/>
  <c r="M42" i="1" s="1"/>
  <c r="AD13" i="1"/>
  <c r="AB39" i="1"/>
  <c r="AB42" i="1" s="1"/>
  <c r="N15" i="1"/>
  <c r="N39" i="1" s="1"/>
  <c r="N42" i="1" s="1"/>
  <c r="J39" i="1"/>
  <c r="J42" i="1" s="1"/>
  <c r="W15" i="1"/>
  <c r="W39" i="1" s="1"/>
  <c r="W42" i="1" s="1"/>
  <c r="E15" i="1"/>
  <c r="E39" i="1" s="1"/>
  <c r="AA39" i="1"/>
  <c r="AA42" i="1" s="1"/>
  <c r="AE23" i="1"/>
  <c r="AD23" i="1"/>
  <c r="AE37" i="1"/>
  <c r="G39" i="1"/>
  <c r="G42" i="1" s="1"/>
  <c r="AC37" i="1"/>
  <c r="AD37" i="1"/>
  <c r="H39" i="1" l="1"/>
  <c r="H42" i="1" s="1"/>
  <c r="AC15" i="1"/>
  <c r="AE15" i="1"/>
  <c r="AD15" i="1"/>
  <c r="E42" i="1"/>
  <c r="E43" i="1" s="1"/>
  <c r="F41" i="1" s="1"/>
  <c r="F43" i="1" s="1"/>
  <c r="G41" i="1" s="1"/>
  <c r="G43" i="1" s="1"/>
  <c r="H41" i="1" s="1"/>
  <c r="H43" i="1" s="1"/>
  <c r="I41" i="1" s="1"/>
  <c r="I43" i="1" s="1"/>
  <c r="J41" i="1" s="1"/>
  <c r="J43" i="1" s="1"/>
  <c r="K41" i="1" s="1"/>
  <c r="K43" i="1" s="1"/>
  <c r="L41" i="1" s="1"/>
  <c r="L43" i="1" s="1"/>
  <c r="M41" i="1" s="1"/>
  <c r="M43" i="1" s="1"/>
  <c r="N41" i="1" s="1"/>
  <c r="N43" i="1" s="1"/>
  <c r="O41" i="1" s="1"/>
  <c r="O43" i="1" s="1"/>
  <c r="P41" i="1" s="1"/>
  <c r="P43" i="1" s="1"/>
  <c r="Q41" i="1" s="1"/>
  <c r="Q43" i="1" s="1"/>
  <c r="R41" i="1" s="1"/>
  <c r="R43" i="1" s="1"/>
  <c r="S41" i="1" s="1"/>
  <c r="S43" i="1" s="1"/>
  <c r="T41" i="1" s="1"/>
  <c r="T43" i="1" s="1"/>
  <c r="U41" i="1" s="1"/>
  <c r="U43" i="1" s="1"/>
  <c r="V41" i="1" s="1"/>
  <c r="V43" i="1" s="1"/>
  <c r="W41" i="1" s="1"/>
  <c r="W43" i="1" s="1"/>
  <c r="X41" i="1" s="1"/>
  <c r="X43" i="1" s="1"/>
  <c r="Y41" i="1" s="1"/>
  <c r="Y43" i="1" s="1"/>
  <c r="Z41" i="1" s="1"/>
  <c r="Z43" i="1" s="1"/>
  <c r="AA41" i="1" s="1"/>
  <c r="AA43" i="1" s="1"/>
  <c r="AB41" i="1" s="1"/>
  <c r="AB43" i="1" s="1"/>
  <c r="AE39" i="1"/>
  <c r="AD39" i="1"/>
  <c r="AB40" i="1"/>
  <c r="P40" i="1" l="1"/>
  <c r="AC39" i="1"/>
</calcChain>
</file>

<file path=xl/sharedStrings.xml><?xml version="1.0" encoding="utf-8"?>
<sst xmlns="http://schemas.openxmlformats.org/spreadsheetml/2006/main" count="100" uniqueCount="73">
  <si>
    <t>Assumptions</t>
  </si>
  <si>
    <t>Assumption period</t>
  </si>
  <si>
    <t>year</t>
  </si>
  <si>
    <t>Total salaries</t>
  </si>
  <si>
    <t>per employee per month</t>
  </si>
  <si>
    <t>Technology + Services</t>
  </si>
  <si>
    <t>Servers</t>
  </si>
  <si>
    <t>Hosting</t>
  </si>
  <si>
    <t>per server per month</t>
  </si>
  <si>
    <t>Analytics</t>
  </si>
  <si>
    <t>per month</t>
  </si>
  <si>
    <t>Bug tracking</t>
  </si>
  <si>
    <t>Monitoring</t>
  </si>
  <si>
    <t>Total technology</t>
  </si>
  <si>
    <t>Other</t>
  </si>
  <si>
    <t>fixed, one time</t>
  </si>
  <si>
    <t>Total other</t>
  </si>
  <si>
    <t>Name (Role)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</si>
  <si>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</si>
  <si>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</si>
  <si>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</si>
  <si>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</si>
  <si>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</si>
  <si>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</si>
  <si>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</si>
  <si>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</si>
  <si>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</si>
  <si>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</si>
  <si>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</si>
  <si>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</si>
  <si>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</si>
  <si>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</si>
  <si>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</si>
  <si>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</si>
  <si>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</si>
  <si>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</si>
  <si>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</si>
  <si>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</si>
  <si>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</si>
  <si>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</si>
  <si>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</si>
  <si>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</si>
  <si>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18 Month Total</t>
  </si>
  <si>
    <t>24 Month Total</t>
  </si>
  <si>
    <t>Role</t>
  </si>
  <si>
    <t>Annual Total</t>
  </si>
  <si>
    <t>Advertising &amp; promotion</t>
  </si>
  <si>
    <t>Rent / Utilities</t>
  </si>
  <si>
    <t>T&amp;E</t>
  </si>
  <si>
    <t>Misc</t>
  </si>
  <si>
    <t>Office supplies</t>
  </si>
  <si>
    <t>Accounting</t>
  </si>
  <si>
    <t>Bookkeeping</t>
  </si>
  <si>
    <t>Office equipment</t>
  </si>
  <si>
    <t>one time, per new employee</t>
  </si>
  <si>
    <t>Legal - financing</t>
  </si>
  <si>
    <t>Legal - ongoing</t>
  </si>
  <si>
    <t>Employee desk + hardware</t>
  </si>
  <si>
    <t>% of headcount expense</t>
  </si>
  <si>
    <t>Headcount overhead</t>
  </si>
  <si>
    <t>Total headcount expense</t>
  </si>
  <si>
    <t xml:space="preserve">fixed, once annually </t>
  </si>
  <si>
    <t>12 Month Total</t>
  </si>
  <si>
    <t>Beginning cash balance</t>
  </si>
  <si>
    <t>Change in cash</t>
  </si>
  <si>
    <t>Ending cash balance</t>
  </si>
  <si>
    <t>capital raised</t>
  </si>
  <si>
    <t>Employees</t>
  </si>
  <si>
    <t>Year 1</t>
  </si>
  <si>
    <t>Year 2</t>
  </si>
  <si>
    <t>Google Apps/Other</t>
  </si>
  <si>
    <t>Total monthly "cash burn" rate</t>
  </si>
  <si>
    <t xml:space="preserve">* For illustration purposes only, please consult with your advisors.  
* Numbers are not indicative of recommendations, they are just for illustration purposes. 
* Calculations doesn't include any particular currency.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</si>
</sst>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m\-yyyy;@"/>
  </numFmts>
  <fonts count="16" x14ac:knownFonts="1">
    <font>
      <sz val="10"/>
      <color rgb="FF000000"/>
      <name val="Arial"/>
    </font>
    <font>
      <sz val="12"/>
      <color rgb="FF000000"/>
      <name val="Calibri"/>
      <family val="2"/>
      <charset val="186"/>
      <scheme val="minor"/>
    </font>
    <font>
      <sz val="12"/>
      <color rgb="FF0000FF"/>
      <name val="Calibri"/>
      <family val="2"/>
      <charset val="186"/>
      <scheme val="minor"/>
    </font>
    <font>
      <b/>
      <sz val="12"/>
      <color rgb="FF000000"/>
      <name val="Calibri"/>
      <family val="2"/>
      <charset val="186"/>
      <scheme val="minor"/>
    </font>
    <font>
      <u/>
      <sz val="10"/>
      <color theme="10"/>
      <name val="Arial"/>
      <family val="2"/>
      <charset val="186"/>
    </font>
    <font>
      <u/>
      <sz val="10"/>
      <color theme="11"/>
      <name val="Arial"/>
      <family val="2"/>
      <charset val="186"/>
    </font>
    <font>
      <sz val="10"/>
      <color rgb="FF000000"/>
      <name val="Arial"/>
      <family val="2"/>
      <charset val="186"/>
    </font>
    <font>
      <sz val="12"/>
      <color rgb="FF0000FF"/>
      <name val="Calibri"/>
      <family val="2"/>
      <charset val="186"/>
    </font>
    <font>
      <sz val="12"/>
      <color theme="0"/>
      <name val="Calibri"/>
      <family val="2"/>
      <charset val="186"/>
      <scheme val="minor"/>
    </font>
    <font>
      <b/>
      <sz val="10"/>
      <color theme="0"/>
      <name val="Calibri"/>
      <family val="2"/>
      <charset val="186"/>
      <scheme val="minor"/>
    </font>
    <font>
      <b/>
      <sz val="12"/>
      <color theme="0"/>
      <name val="Calibri"/>
      <family val="2"/>
      <charset val="186"/>
      <scheme val="minor"/>
    </font>
    <font>
      <b/>
      <sz val="12"/>
      <name val="Calibri"/>
      <family val="2"/>
      <charset val="186"/>
      <scheme val="minor"/>
    </font>
    <font>
      <b/>
      <sz val="12"/>
      <color theme="1"/>
      <name val="Calibri"/>
      <family val="2"/>
      <charset val="186"/>
      <scheme val="minor"/>
    </font>
    <font>
      <sz val="10"/>
      <color rgb="FF000000"/>
      <name val="Calibri"/>
      <family val="2"/>
      <charset val="186"/>
      <scheme val="minor"/>
    </font>
    <font>
      <sz val="12"/>
      <color theme="1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1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3" fontId="3" fillId="0" borderId="4" xfId="0" applyNumberFormat="1" applyFont="1" applyBorder="1" applyAlignment="1">
      <alignment wrapText="1"/>
    </xf>
    <xf numFmtId="0" fontId="1" fillId="0" borderId="0" xfId="0" applyFont="1" applyBorder="1" applyAlignment="1">
      <alignment wrapText="1"/>
    </xf>
    <xf numFmtId="3" fontId="1" fillId="0" borderId="0" xfId="0" applyNumberFormat="1" applyFont="1" applyBorder="1" applyAlignment="1">
      <alignment wrapText="1"/>
    </xf>
    <xf numFmtId="3" fontId="2" fillId="0" borderId="0" xfId="0" applyNumberFormat="1" applyFont="1" applyBorder="1" applyAlignment="1">
      <alignment wrapText="1"/>
    </xf>
    <xf numFmtId="3" fontId="3" fillId="0" borderId="0" xfId="0" applyNumberFormat="1" applyFont="1" applyBorder="1" applyAlignment="1">
      <alignment wrapText="1"/>
    </xf>
    <xf numFmtId="3" fontId="1" fillId="0" borderId="11" xfId="0" applyNumberFormat="1" applyFont="1" applyBorder="1" applyAlignment="1">
      <alignment wrapText="1"/>
    </xf>
    <xf numFmtId="3" fontId="3" fillId="0" borderId="9" xfId="0" applyNumberFormat="1" applyFont="1" applyBorder="1" applyAlignment="1">
      <alignment wrapText="1"/>
    </xf>
    <xf numFmtId="0" fontId="1" fillId="2" borderId="0" xfId="0" applyFont="1" applyFill="1" applyAlignment="1">
      <alignment wrapText="1"/>
    </xf>
    <xf numFmtId="0" fontId="1" fillId="2" borderId="1" xfId="0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1" fillId="2" borderId="0" xfId="0" applyFont="1" applyFill="1" applyAlignment="1">
      <alignment horizontal="left" wrapText="1" indent="2"/>
    </xf>
    <xf numFmtId="0" fontId="1" fillId="2" borderId="2" xfId="0" applyFont="1" applyFill="1" applyBorder="1" applyAlignment="1">
      <alignment horizontal="left" wrapText="1" indent="2"/>
    </xf>
    <xf numFmtId="0" fontId="12" fillId="2" borderId="13" xfId="0" applyFont="1" applyFill="1" applyBorder="1" applyAlignment="1">
      <alignment wrapText="1"/>
    </xf>
    <xf numFmtId="3" fontId="1" fillId="0" borderId="13" xfId="0" applyNumberFormat="1" applyFont="1" applyBorder="1" applyAlignment="1">
      <alignment wrapText="1"/>
    </xf>
    <xf numFmtId="0" fontId="1" fillId="2" borderId="13" xfId="0" applyFont="1" applyFill="1" applyBorder="1" applyAlignment="1">
      <alignment wrapText="1"/>
    </xf>
    <xf numFmtId="0" fontId="1" fillId="2" borderId="0" xfId="0" applyFont="1" applyFill="1" applyAlignment="1">
      <alignment horizontal="left" vertical="center" wrapText="1" indent="2"/>
    </xf>
    <xf numFmtId="3" fontId="14" fillId="0" borderId="15" xfId="0" applyNumberFormat="1" applyFont="1" applyBorder="1" applyAlignment="1">
      <alignment wrapText="1"/>
    </xf>
    <xf numFmtId="3" fontId="1" fillId="0" borderId="13" xfId="0" applyNumberFormat="1" applyFont="1" applyBorder="1" applyAlignment="1">
      <alignment vertical="center" wrapText="1"/>
    </xf>
    <xf numFmtId="0" fontId="1" fillId="2" borderId="14" xfId="0" applyFont="1" applyFill="1" applyBorder="1" applyAlignment="1">
      <alignment horizontal="left" wrapText="1" indent="2"/>
    </xf>
    <xf numFmtId="0" fontId="1" fillId="2" borderId="14" xfId="0" applyFont="1" applyFill="1" applyBorder="1" applyAlignment="1">
      <alignment wrapText="1"/>
    </xf>
    <xf numFmtId="0" fontId="1" fillId="2" borderId="14" xfId="0" applyFont="1" applyFill="1" applyBorder="1" applyAlignment="1">
      <alignment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3" fontId="1" fillId="2" borderId="15" xfId="0" applyNumberFormat="1" applyFont="1" applyFill="1" applyBorder="1" applyAlignment="1">
      <alignment wrapText="1"/>
    </xf>
    <xf numFmtId="3" fontId="1" fillId="2" borderId="13" xfId="0" applyNumberFormat="1" applyFont="1" applyFill="1" applyBorder="1" applyAlignment="1">
      <alignment wrapText="1"/>
    </xf>
    <xf numFmtId="0" fontId="1" fillId="2" borderId="14" xfId="0" applyFont="1" applyFill="1" applyBorder="1" applyAlignment="1">
      <alignment horizontal="left" vertical="center" wrapText="1" indent="2"/>
    </xf>
    <xf numFmtId="3" fontId="7" fillId="0" borderId="0" xfId="0" applyNumberFormat="1" applyFont="1" applyBorder="1" applyAlignment="1">
      <alignment wrapText="1"/>
    </xf>
    <xf numFmtId="3" fontId="14" fillId="0" borderId="13" xfId="0" applyNumberFormat="1" applyFont="1" applyBorder="1" applyAlignment="1">
      <alignment horizontal="center" vertical="center" wrapText="1"/>
    </xf>
    <xf numFmtId="3" fontId="14" fillId="0" borderId="20" xfId="0" applyNumberFormat="1" applyFont="1" applyBorder="1" applyAlignment="1">
      <alignment horizontal="center" vertical="center" wrapText="1"/>
    </xf>
    <xf numFmtId="3" fontId="14" fillId="0" borderId="35" xfId="0" applyNumberFormat="1" applyFont="1" applyBorder="1" applyAlignment="1">
      <alignment horizontal="center" vertical="center" wrapText="1"/>
    </xf>
    <xf numFmtId="3" fontId="14" fillId="0" borderId="36" xfId="0" applyNumberFormat="1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wrapText="1"/>
    </xf>
    <xf numFmtId="0" fontId="13" fillId="0" borderId="41" xfId="0" applyFont="1" applyBorder="1" applyAlignment="1">
      <alignment horizontal="center" vertical="center" wrapText="1"/>
    </xf>
    <xf numFmtId="3" fontId="3" fillId="2" borderId="13" xfId="0" applyNumberFormat="1" applyFont="1" applyFill="1" applyBorder="1" applyAlignment="1">
      <alignment wrapText="1"/>
    </xf>
    <xf numFmtId="3" fontId="14" fillId="2" borderId="13" xfId="0" applyNumberFormat="1" applyFont="1" applyFill="1" applyBorder="1" applyAlignment="1">
      <alignment horizontal="center" vertical="center" wrapText="1"/>
    </xf>
    <xf numFmtId="3" fontId="14" fillId="2" borderId="15" xfId="0" applyNumberFormat="1" applyFont="1" applyFill="1" applyBorder="1" applyAlignment="1">
      <alignment horizontal="right" wrapText="1"/>
    </xf>
    <xf numFmtId="3" fontId="14" fillId="2" borderId="13" xfId="0" applyNumberFormat="1" applyFont="1" applyFill="1" applyBorder="1" applyAlignment="1">
      <alignment horizontal="right" wrapText="1"/>
    </xf>
    <xf numFmtId="3" fontId="1" fillId="2" borderId="15" xfId="0" applyNumberFormat="1" applyFont="1" applyFill="1" applyBorder="1" applyAlignment="1">
      <alignment horizontal="right" vertical="center" wrapText="1"/>
    </xf>
    <xf numFmtId="3" fontId="1" fillId="2" borderId="13" xfId="0" applyNumberFormat="1" applyFont="1" applyFill="1" applyBorder="1" applyAlignment="1">
      <alignment horizontal="right" vertical="center" wrapText="1"/>
    </xf>
    <xf numFmtId="3" fontId="14" fillId="2" borderId="20" xfId="0" applyNumberFormat="1" applyFont="1" applyFill="1" applyBorder="1" applyAlignment="1">
      <alignment horizontal="center" vertical="center" wrapText="1"/>
    </xf>
    <xf numFmtId="3" fontId="11" fillId="2" borderId="17" xfId="0" applyNumberFormat="1" applyFont="1" applyFill="1" applyBorder="1" applyAlignment="1">
      <alignment horizontal="center" vertical="center" wrapText="1"/>
    </xf>
    <xf numFmtId="3" fontId="11" fillId="2" borderId="18" xfId="0" applyNumberFormat="1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3" fontId="1" fillId="2" borderId="15" xfId="0" applyNumberFormat="1" applyFont="1" applyFill="1" applyBorder="1" applyAlignment="1">
      <alignment vertical="center" wrapText="1"/>
    </xf>
    <xf numFmtId="3" fontId="1" fillId="2" borderId="13" xfId="0" applyNumberFormat="1" applyFont="1" applyFill="1" applyBorder="1" applyAlignment="1">
      <alignment vertical="center" wrapText="1"/>
    </xf>
    <xf numFmtId="3" fontId="1" fillId="0" borderId="0" xfId="0" applyNumberFormat="1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3" fillId="0" borderId="4" xfId="0" applyNumberFormat="1" applyFont="1" applyBorder="1" applyAlignment="1">
      <alignment vertical="center" wrapText="1"/>
    </xf>
    <xf numFmtId="3" fontId="14" fillId="2" borderId="15" xfId="0" applyNumberFormat="1" applyFont="1" applyFill="1" applyBorder="1" applyAlignment="1">
      <alignment horizontal="right" vertical="center" wrapText="1"/>
    </xf>
    <xf numFmtId="3" fontId="14" fillId="2" borderId="13" xfId="0" applyNumberFormat="1" applyFont="1" applyFill="1" applyBorder="1" applyAlignment="1">
      <alignment horizontal="right" vertical="center" wrapText="1"/>
    </xf>
    <xf numFmtId="3" fontId="1" fillId="2" borderId="3" xfId="0" applyNumberFormat="1" applyFont="1" applyFill="1" applyBorder="1" applyAlignment="1">
      <alignment vertical="center" wrapText="1"/>
    </xf>
    <xf numFmtId="3" fontId="1" fillId="2" borderId="8" xfId="0" applyNumberFormat="1" applyFont="1" applyFill="1" applyBorder="1" applyAlignment="1">
      <alignment vertical="center" wrapText="1"/>
    </xf>
    <xf numFmtId="3" fontId="1" fillId="2" borderId="9" xfId="0" applyNumberFormat="1" applyFont="1" applyFill="1" applyBorder="1" applyAlignment="1">
      <alignment vertical="center" wrapText="1"/>
    </xf>
    <xf numFmtId="3" fontId="14" fillId="0" borderId="15" xfId="0" applyNumberFormat="1" applyFont="1" applyBorder="1" applyAlignment="1">
      <alignment vertical="center" wrapText="1"/>
    </xf>
    <xf numFmtId="3" fontId="1" fillId="2" borderId="4" xfId="0" applyNumberFormat="1" applyFont="1" applyFill="1" applyBorder="1" applyAlignment="1">
      <alignment vertical="center" wrapText="1"/>
    </xf>
    <xf numFmtId="3" fontId="8" fillId="4" borderId="5" xfId="0" applyNumberFormat="1" applyFont="1" applyFill="1" applyBorder="1" applyAlignment="1">
      <alignment wrapText="1"/>
    </xf>
    <xf numFmtId="0" fontId="10" fillId="4" borderId="6" xfId="0" applyFont="1" applyFill="1" applyBorder="1" applyAlignment="1">
      <alignment horizontal="center" vertical="center" wrapText="1"/>
    </xf>
    <xf numFmtId="164" fontId="9" fillId="4" borderId="7" xfId="0" applyNumberFormat="1" applyFont="1" applyFill="1" applyBorder="1" applyAlignment="1">
      <alignment horizontal="center" vertical="center" wrapText="1"/>
    </xf>
    <xf numFmtId="164" fontId="9" fillId="4" borderId="5" xfId="0" applyNumberFormat="1" applyFont="1" applyFill="1" applyBorder="1" applyAlignment="1">
      <alignment horizontal="center" vertical="center" wrapText="1"/>
    </xf>
    <xf numFmtId="164" fontId="9" fillId="4" borderId="6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wrapText="1"/>
    </xf>
    <xf numFmtId="0" fontId="9" fillId="4" borderId="5" xfId="0" applyFont="1" applyFill="1" applyBorder="1" applyAlignment="1">
      <alignment horizontal="center" wrapText="1"/>
    </xf>
    <xf numFmtId="9" fontId="14" fillId="0" borderId="22" xfId="9" applyFont="1" applyBorder="1" applyAlignment="1">
      <alignment horizontal="center" vertical="center" wrapText="1"/>
    </xf>
    <xf numFmtId="9" fontId="14" fillId="0" borderId="15" xfId="9" applyFont="1" applyBorder="1" applyAlignment="1">
      <alignment horizontal="center" vertical="center" wrapText="1"/>
    </xf>
    <xf numFmtId="3" fontId="14" fillId="0" borderId="24" xfId="0" applyNumberFormat="1" applyFont="1" applyBorder="1" applyAlignment="1">
      <alignment horizontal="center" vertical="center" wrapText="1"/>
    </xf>
    <xf numFmtId="3" fontId="14" fillId="0" borderId="25" xfId="0" applyNumberFormat="1" applyFont="1" applyBorder="1" applyAlignment="1">
      <alignment horizontal="center" vertical="center" wrapText="1"/>
    </xf>
    <xf numFmtId="3" fontId="14" fillId="0" borderId="26" xfId="0" applyNumberFormat="1" applyFont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center" wrapText="1"/>
    </xf>
    <xf numFmtId="3" fontId="14" fillId="0" borderId="39" xfId="0" applyNumberFormat="1" applyFont="1" applyBorder="1" applyAlignment="1">
      <alignment horizontal="center" wrapText="1"/>
    </xf>
    <xf numFmtId="3" fontId="14" fillId="0" borderId="40" xfId="0" applyNumberFormat="1" applyFont="1" applyBorder="1" applyAlignment="1">
      <alignment horizontal="center" wrapText="1"/>
    </xf>
    <xf numFmtId="3" fontId="2" fillId="2" borderId="36" xfId="0" applyNumberFormat="1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3" fontId="2" fillId="3" borderId="32" xfId="0" applyNumberFormat="1" applyFont="1" applyFill="1" applyBorder="1" applyAlignment="1">
      <alignment horizontal="center" wrapText="1"/>
    </xf>
    <xf numFmtId="3" fontId="2" fillId="3" borderId="33" xfId="0" applyNumberFormat="1" applyFont="1" applyFill="1" applyBorder="1" applyAlignment="1">
      <alignment horizontal="center" wrapText="1"/>
    </xf>
    <xf numFmtId="3" fontId="2" fillId="3" borderId="34" xfId="0" applyNumberFormat="1" applyFont="1" applyFill="1" applyBorder="1" applyAlignment="1">
      <alignment horizontal="center" wrapText="1"/>
    </xf>
    <xf numFmtId="3" fontId="2" fillId="2" borderId="38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9" fontId="14" fillId="2" borderId="28" xfId="9" applyFont="1" applyFill="1" applyBorder="1" applyAlignment="1">
      <alignment horizontal="center" wrapText="1"/>
    </xf>
    <xf numFmtId="9" fontId="14" fillId="2" borderId="0" xfId="9" applyFont="1" applyFill="1" applyBorder="1" applyAlignment="1">
      <alignment horizontal="center" wrapText="1"/>
    </xf>
    <xf numFmtId="9" fontId="14" fillId="2" borderId="5" xfId="9" applyFont="1" applyFill="1" applyBorder="1" applyAlignment="1">
      <alignment horizontal="center" wrapText="1"/>
    </xf>
    <xf numFmtId="9" fontId="14" fillId="2" borderId="15" xfId="9" applyFont="1" applyFill="1" applyBorder="1" applyAlignment="1">
      <alignment horizontal="center" wrapText="1"/>
    </xf>
    <xf numFmtId="3" fontId="14" fillId="0" borderId="29" xfId="0" applyNumberFormat="1" applyFont="1" applyBorder="1" applyAlignment="1">
      <alignment horizontal="center" wrapText="1"/>
    </xf>
    <xf numFmtId="3" fontId="14" fillId="0" borderId="30" xfId="0" applyNumberFormat="1" applyFont="1" applyBorder="1" applyAlignment="1">
      <alignment horizontal="center" wrapText="1"/>
    </xf>
    <xf numFmtId="3" fontId="14" fillId="0" borderId="31" xfId="0" applyNumberFormat="1" applyFont="1" applyBorder="1" applyAlignment="1">
      <alignment horizontal="center" wrapText="1"/>
    </xf>
    <xf numFmtId="3" fontId="2" fillId="0" borderId="24" xfId="0" applyNumberFormat="1" applyFont="1" applyBorder="1" applyAlignment="1">
      <alignment horizontal="center" wrapText="1"/>
    </xf>
    <xf numFmtId="3" fontId="2" fillId="0" borderId="25" xfId="0" applyNumberFormat="1" applyFont="1" applyBorder="1" applyAlignment="1">
      <alignment horizontal="center" wrapText="1"/>
    </xf>
    <xf numFmtId="3" fontId="2" fillId="0" borderId="26" xfId="0" applyNumberFormat="1" applyFont="1" applyBorder="1" applyAlignment="1">
      <alignment horizontal="center" wrapText="1"/>
    </xf>
    <xf numFmtId="3" fontId="14" fillId="0" borderId="22" xfId="0" applyNumberFormat="1" applyFont="1" applyBorder="1" applyAlignment="1">
      <alignment horizontal="center" vertical="center" wrapText="1"/>
    </xf>
    <xf numFmtId="3" fontId="14" fillId="0" borderId="15" xfId="0" applyNumberFormat="1" applyFont="1" applyBorder="1" applyAlignment="1">
      <alignment horizontal="center" vertical="center" wrapText="1"/>
    </xf>
    <xf numFmtId="3" fontId="2" fillId="0" borderId="22" xfId="0" applyNumberFormat="1" applyFont="1" applyBorder="1" applyAlignment="1">
      <alignment horizontal="center" wrapText="1"/>
    </xf>
    <xf numFmtId="3" fontId="2" fillId="0" borderId="5" xfId="0" applyNumberFormat="1" applyFont="1" applyBorder="1" applyAlignment="1">
      <alignment horizontal="center" wrapText="1"/>
    </xf>
    <xf numFmtId="3" fontId="2" fillId="0" borderId="23" xfId="0" applyNumberFormat="1" applyFont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wrapText="1"/>
    </xf>
    <xf numFmtId="3" fontId="14" fillId="0" borderId="22" xfId="0" applyNumberFormat="1" applyFont="1" applyBorder="1" applyAlignment="1">
      <alignment horizontal="center" wrapText="1"/>
    </xf>
    <xf numFmtId="3" fontId="14" fillId="0" borderId="15" xfId="0" applyNumberFormat="1" applyFont="1" applyBorder="1" applyAlignment="1">
      <alignment horizontal="center" wrapText="1"/>
    </xf>
    <xf numFmtId="3" fontId="14" fillId="0" borderId="20" xfId="0" applyNumberFormat="1" applyFont="1" applyBorder="1" applyAlignment="1">
      <alignment horizontal="center" wrapText="1"/>
    </xf>
    <xf numFmtId="3" fontId="14" fillId="0" borderId="13" xfId="0" applyNumberFormat="1" applyFont="1" applyBorder="1" applyAlignment="1">
      <alignment horizontal="center" wrapText="1"/>
    </xf>
    <xf numFmtId="3" fontId="10" fillId="4" borderId="5" xfId="0" applyNumberFormat="1" applyFont="1" applyFill="1" applyBorder="1" applyAlignment="1">
      <alignment horizontal="center" vertical="center" wrapText="1"/>
    </xf>
    <xf numFmtId="3" fontId="14" fillId="0" borderId="17" xfId="0" applyNumberFormat="1" applyFont="1" applyBorder="1" applyAlignment="1">
      <alignment horizontal="center" wrapText="1"/>
    </xf>
    <xf numFmtId="3" fontId="14" fillId="0" borderId="18" xfId="0" applyNumberFormat="1" applyFont="1" applyBorder="1" applyAlignment="1">
      <alignment horizontal="center" wrapText="1"/>
    </xf>
    <xf numFmtId="3" fontId="2" fillId="2" borderId="0" xfId="0" applyNumberFormat="1" applyFont="1" applyFill="1" applyAlignment="1">
      <alignment horizontal="center" wrapText="1"/>
    </xf>
    <xf numFmtId="3" fontId="2" fillId="2" borderId="10" xfId="0" applyNumberFormat="1" applyFont="1" applyFill="1" applyBorder="1" applyAlignment="1">
      <alignment horizontal="center" wrapText="1"/>
    </xf>
    <xf numFmtId="3" fontId="1" fillId="2" borderId="5" xfId="0" applyNumberFormat="1" applyFont="1" applyFill="1" applyBorder="1" applyAlignment="1">
      <alignment horizontal="center" wrapText="1"/>
    </xf>
    <xf numFmtId="3" fontId="1" fillId="2" borderId="15" xfId="0" applyNumberFormat="1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15" fillId="0" borderId="0" xfId="0" applyFont="1" applyAlignment="1">
      <alignment horizontal="left" vertical="top" wrapText="1"/>
    </xf>
    <xf numFmtId="0" fontId="0" fillId="4" borderId="0" xfId="0" applyFill="1" applyAlignment="1">
      <alignment wrapText="1"/>
    </xf>
    <xf numFmtId="0" fontId="1" fillId="4" borderId="0" xfId="0" applyFont="1" applyFill="1" applyAlignment="1">
      <alignment wrapText="1"/>
    </xf>
  </cellXfs>
  <cellStyles count="6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Normal" xfId="0" builtinId="0"/>
    <cellStyle name="Percent" xfId="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3"/>
  <sheetViews>
    <sheetView tabSelected="1" zoomScale="85" zoomScaleNormal="85" workbookViewId="0">
      <pane xSplit="4" ySplit="2" topLeftCell="K3" activePane="bottomRight" state="frozen"/>
      <selection pane="topRight" activeCell="E1" sqref="E1"/>
      <selection pane="bottomLeft" activeCell="A3" sqref="A3"/>
      <selection pane="bottomRight" activeCell="R6" sqref="R6"/>
    </sheetView>
  </sheetViews>
  <sheetFormatPr defaultColWidth="0" defaultRowHeight="15.75" zeroHeight="1" x14ac:dyDescent="0.25"/>
  <cols>
    <col min="1" max="1" width="24.42578125" style="1" customWidth="1"/>
    <col min="2" max="2" width="11.5703125" style="1" customWidth="1"/>
    <col min="3" max="3" width="9.140625" style="1" customWidth="1"/>
    <col min="4" max="4" width="13" style="1" customWidth="1"/>
    <col min="5" max="31" width="10.42578125" style="1" customWidth="1"/>
    <col min="33" max="37" width="17.140625" style="1" hidden="1" customWidth="1"/>
    <col min="38" max="16384" width="17.140625" style="1" hidden="1"/>
  </cols>
  <sheetData>
    <row r="1" spans="1:32" s="120" customFormat="1" ht="33.75" customHeight="1" x14ac:dyDescent="0.25">
      <c r="A1" s="63"/>
      <c r="B1" s="110" t="s">
        <v>0</v>
      </c>
      <c r="C1" s="110"/>
      <c r="D1" s="64" t="s">
        <v>1</v>
      </c>
      <c r="E1" s="65" t="s">
        <v>18</v>
      </c>
      <c r="F1" s="66" t="s">
        <v>19</v>
      </c>
      <c r="G1" s="66" t="s">
        <v>20</v>
      </c>
      <c r="H1" s="66" t="s">
        <v>21</v>
      </c>
      <c r="I1" s="66" t="s">
        <v>22</v>
      </c>
      <c r="J1" s="66" t="s">
        <v>23</v>
      </c>
      <c r="K1" s="66" t="s">
        <v>24</v>
      </c>
      <c r="L1" s="66" t="s">
        <v>25</v>
      </c>
      <c r="M1" s="66" t="s">
        <v>26</v>
      </c>
      <c r="N1" s="66" t="s">
        <v>27</v>
      </c>
      <c r="O1" s="66" t="s">
        <v>28</v>
      </c>
      <c r="P1" s="67" t="s">
        <v>29</v>
      </c>
      <c r="Q1" s="65" t="s">
        <v>30</v>
      </c>
      <c r="R1" s="66" t="s">
        <v>31</v>
      </c>
      <c r="S1" s="66" t="s">
        <v>32</v>
      </c>
      <c r="T1" s="66" t="s">
        <v>33</v>
      </c>
      <c r="U1" s="66" t="s">
        <v>34</v>
      </c>
      <c r="V1" s="66" t="s">
        <v>35</v>
      </c>
      <c r="W1" s="66" t="s">
        <v>36</v>
      </c>
      <c r="X1" s="66" t="s">
        <v>37</v>
      </c>
      <c r="Y1" s="66" t="s">
        <v>38</v>
      </c>
      <c r="Z1" s="66" t="s">
        <v>39</v>
      </c>
      <c r="AA1" s="66" t="s">
        <v>40</v>
      </c>
      <c r="AB1" s="67" t="s">
        <v>41</v>
      </c>
      <c r="AC1" s="68" t="s">
        <v>62</v>
      </c>
      <c r="AD1" s="69" t="s">
        <v>42</v>
      </c>
      <c r="AE1" s="69" t="s">
        <v>43</v>
      </c>
      <c r="AF1" s="119"/>
    </row>
    <row r="2" spans="1:32" ht="14.25" customHeight="1" thickBot="1" x14ac:dyDescent="0.3">
      <c r="A2" s="16" t="s">
        <v>67</v>
      </c>
      <c r="B2" s="103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5"/>
      <c r="AC2" s="5"/>
      <c r="AD2" s="2"/>
      <c r="AE2" s="2"/>
    </row>
    <row r="3" spans="1:32" x14ac:dyDescent="0.25">
      <c r="A3" s="22" t="s">
        <v>17</v>
      </c>
      <c r="B3" s="111">
        <v>20000</v>
      </c>
      <c r="C3" s="112"/>
      <c r="D3" s="25" t="s">
        <v>2</v>
      </c>
      <c r="E3" s="27">
        <f t="shared" ref="E3:N7" si="0">$B3/12</f>
        <v>1666.6666666666667</v>
      </c>
      <c r="F3" s="28">
        <f t="shared" si="0"/>
        <v>1666.6666666666667</v>
      </c>
      <c r="G3" s="28">
        <f t="shared" si="0"/>
        <v>1666.6666666666667</v>
      </c>
      <c r="H3" s="28">
        <f t="shared" si="0"/>
        <v>1666.6666666666667</v>
      </c>
      <c r="I3" s="28">
        <f t="shared" si="0"/>
        <v>1666.6666666666667</v>
      </c>
      <c r="J3" s="28">
        <f t="shared" si="0"/>
        <v>1666.6666666666667</v>
      </c>
      <c r="K3" s="28">
        <f t="shared" si="0"/>
        <v>1666.6666666666667</v>
      </c>
      <c r="L3" s="28">
        <f t="shared" si="0"/>
        <v>1666.6666666666667</v>
      </c>
      <c r="M3" s="28">
        <f t="shared" si="0"/>
        <v>1666.6666666666667</v>
      </c>
      <c r="N3" s="28">
        <f t="shared" si="0"/>
        <v>1666.6666666666667</v>
      </c>
      <c r="O3" s="28">
        <f t="shared" ref="O3:AB11" si="1">$B3/12</f>
        <v>1666.6666666666667</v>
      </c>
      <c r="P3" s="28">
        <f t="shared" si="1"/>
        <v>1666.6666666666667</v>
      </c>
      <c r="Q3" s="28">
        <f t="shared" si="1"/>
        <v>1666.6666666666667</v>
      </c>
      <c r="R3" s="28">
        <f t="shared" si="1"/>
        <v>1666.6666666666667</v>
      </c>
      <c r="S3" s="28">
        <f t="shared" si="1"/>
        <v>1666.6666666666667</v>
      </c>
      <c r="T3" s="28">
        <f t="shared" si="1"/>
        <v>1666.6666666666667</v>
      </c>
      <c r="U3" s="28">
        <f t="shared" si="1"/>
        <v>1666.6666666666667</v>
      </c>
      <c r="V3" s="28">
        <f t="shared" si="1"/>
        <v>1666.6666666666667</v>
      </c>
      <c r="W3" s="28">
        <f t="shared" si="1"/>
        <v>1666.6666666666667</v>
      </c>
      <c r="X3" s="28">
        <f t="shared" si="1"/>
        <v>1666.6666666666667</v>
      </c>
      <c r="Y3" s="28">
        <f t="shared" si="1"/>
        <v>1666.6666666666667</v>
      </c>
      <c r="Z3" s="28">
        <f t="shared" si="1"/>
        <v>1666.6666666666667</v>
      </c>
      <c r="AA3" s="28">
        <f t="shared" si="1"/>
        <v>1666.6666666666667</v>
      </c>
      <c r="AB3" s="28">
        <f t="shared" si="1"/>
        <v>1666.6666666666667</v>
      </c>
      <c r="AC3" s="6"/>
      <c r="AD3" s="2"/>
      <c r="AE3" s="2"/>
    </row>
    <row r="4" spans="1:32" x14ac:dyDescent="0.25">
      <c r="A4" s="22" t="s">
        <v>17</v>
      </c>
      <c r="B4" s="108">
        <v>20000</v>
      </c>
      <c r="C4" s="109"/>
      <c r="D4" s="26" t="s">
        <v>2</v>
      </c>
      <c r="E4" s="27">
        <f t="shared" si="0"/>
        <v>1666.6666666666667</v>
      </c>
      <c r="F4" s="28">
        <f t="shared" si="0"/>
        <v>1666.6666666666667</v>
      </c>
      <c r="G4" s="28">
        <f t="shared" si="0"/>
        <v>1666.6666666666667</v>
      </c>
      <c r="H4" s="28">
        <f t="shared" si="0"/>
        <v>1666.6666666666667</v>
      </c>
      <c r="I4" s="28">
        <f t="shared" si="0"/>
        <v>1666.6666666666667</v>
      </c>
      <c r="J4" s="28">
        <f t="shared" si="0"/>
        <v>1666.6666666666667</v>
      </c>
      <c r="K4" s="28">
        <f t="shared" si="0"/>
        <v>1666.6666666666667</v>
      </c>
      <c r="L4" s="28">
        <f t="shared" si="0"/>
        <v>1666.6666666666667</v>
      </c>
      <c r="M4" s="28">
        <f t="shared" si="0"/>
        <v>1666.6666666666667</v>
      </c>
      <c r="N4" s="28">
        <f t="shared" si="0"/>
        <v>1666.6666666666667</v>
      </c>
      <c r="O4" s="28">
        <f t="shared" si="1"/>
        <v>1666.6666666666667</v>
      </c>
      <c r="P4" s="28">
        <f t="shared" si="1"/>
        <v>1666.6666666666667</v>
      </c>
      <c r="Q4" s="28">
        <f t="shared" si="1"/>
        <v>1666.6666666666667</v>
      </c>
      <c r="R4" s="28">
        <f t="shared" si="1"/>
        <v>1666.6666666666667</v>
      </c>
      <c r="S4" s="28">
        <f t="shared" si="1"/>
        <v>1666.6666666666667</v>
      </c>
      <c r="T4" s="28">
        <f t="shared" si="1"/>
        <v>1666.6666666666667</v>
      </c>
      <c r="U4" s="28">
        <f t="shared" si="1"/>
        <v>1666.6666666666667</v>
      </c>
      <c r="V4" s="28">
        <f t="shared" si="1"/>
        <v>1666.6666666666667</v>
      </c>
      <c r="W4" s="28">
        <f t="shared" si="1"/>
        <v>1666.6666666666667</v>
      </c>
      <c r="X4" s="28">
        <f t="shared" si="1"/>
        <v>1666.6666666666667</v>
      </c>
      <c r="Y4" s="28">
        <f t="shared" si="1"/>
        <v>1666.6666666666667</v>
      </c>
      <c r="Z4" s="28">
        <f t="shared" si="1"/>
        <v>1666.6666666666667</v>
      </c>
      <c r="AA4" s="28">
        <f t="shared" si="1"/>
        <v>1666.6666666666667</v>
      </c>
      <c r="AB4" s="28">
        <f t="shared" si="1"/>
        <v>1666.6666666666667</v>
      </c>
      <c r="AC4" s="6"/>
      <c r="AD4" s="2"/>
      <c r="AE4" s="2"/>
    </row>
    <row r="5" spans="1:32" x14ac:dyDescent="0.25">
      <c r="A5" s="22" t="s">
        <v>17</v>
      </c>
      <c r="B5" s="108">
        <v>50000</v>
      </c>
      <c r="C5" s="109"/>
      <c r="D5" s="26" t="s">
        <v>2</v>
      </c>
      <c r="E5" s="27">
        <f t="shared" si="0"/>
        <v>4166.666666666667</v>
      </c>
      <c r="F5" s="28">
        <f t="shared" si="0"/>
        <v>4166.666666666667</v>
      </c>
      <c r="G5" s="28">
        <f t="shared" si="0"/>
        <v>4166.666666666667</v>
      </c>
      <c r="H5" s="28">
        <f t="shared" si="0"/>
        <v>4166.666666666667</v>
      </c>
      <c r="I5" s="28">
        <f t="shared" si="0"/>
        <v>4166.666666666667</v>
      </c>
      <c r="J5" s="28">
        <f t="shared" si="0"/>
        <v>4166.666666666667</v>
      </c>
      <c r="K5" s="28">
        <f t="shared" si="0"/>
        <v>4166.666666666667</v>
      </c>
      <c r="L5" s="28">
        <f t="shared" si="0"/>
        <v>4166.666666666667</v>
      </c>
      <c r="M5" s="28">
        <f t="shared" si="0"/>
        <v>4166.666666666667</v>
      </c>
      <c r="N5" s="28">
        <f t="shared" si="0"/>
        <v>4166.666666666667</v>
      </c>
      <c r="O5" s="28">
        <f t="shared" si="1"/>
        <v>4166.666666666667</v>
      </c>
      <c r="P5" s="28">
        <f t="shared" si="1"/>
        <v>4166.666666666667</v>
      </c>
      <c r="Q5" s="28">
        <f t="shared" si="1"/>
        <v>4166.666666666667</v>
      </c>
      <c r="R5" s="28">
        <f t="shared" si="1"/>
        <v>4166.666666666667</v>
      </c>
      <c r="S5" s="28">
        <f t="shared" si="1"/>
        <v>4166.666666666667</v>
      </c>
      <c r="T5" s="28">
        <f t="shared" si="1"/>
        <v>4166.666666666667</v>
      </c>
      <c r="U5" s="28">
        <f t="shared" si="1"/>
        <v>4166.666666666667</v>
      </c>
      <c r="V5" s="28">
        <f t="shared" si="1"/>
        <v>4166.666666666667</v>
      </c>
      <c r="W5" s="28">
        <f t="shared" si="1"/>
        <v>4166.666666666667</v>
      </c>
      <c r="X5" s="28">
        <f t="shared" si="1"/>
        <v>4166.666666666667</v>
      </c>
      <c r="Y5" s="28">
        <f t="shared" si="1"/>
        <v>4166.666666666667</v>
      </c>
      <c r="Z5" s="28">
        <f t="shared" si="1"/>
        <v>4166.666666666667</v>
      </c>
      <c r="AA5" s="28">
        <f t="shared" si="1"/>
        <v>4166.666666666667</v>
      </c>
      <c r="AB5" s="28">
        <f t="shared" si="1"/>
        <v>4166.666666666667</v>
      </c>
      <c r="AC5" s="6"/>
      <c r="AD5" s="2"/>
      <c r="AE5" s="2"/>
    </row>
    <row r="6" spans="1:32" x14ac:dyDescent="0.25">
      <c r="A6" s="22" t="s">
        <v>17</v>
      </c>
      <c r="B6" s="108">
        <v>50000</v>
      </c>
      <c r="C6" s="109"/>
      <c r="D6" s="26" t="s">
        <v>2</v>
      </c>
      <c r="E6" s="27">
        <f t="shared" si="0"/>
        <v>4166.666666666667</v>
      </c>
      <c r="F6" s="28">
        <f t="shared" si="0"/>
        <v>4166.666666666667</v>
      </c>
      <c r="G6" s="28">
        <f t="shared" si="0"/>
        <v>4166.666666666667</v>
      </c>
      <c r="H6" s="28">
        <f t="shared" si="0"/>
        <v>4166.666666666667</v>
      </c>
      <c r="I6" s="28">
        <f t="shared" si="0"/>
        <v>4166.666666666667</v>
      </c>
      <c r="J6" s="28">
        <f t="shared" si="0"/>
        <v>4166.666666666667</v>
      </c>
      <c r="K6" s="28">
        <f t="shared" si="0"/>
        <v>4166.666666666667</v>
      </c>
      <c r="L6" s="28">
        <f t="shared" si="0"/>
        <v>4166.666666666667</v>
      </c>
      <c r="M6" s="28">
        <f t="shared" si="0"/>
        <v>4166.666666666667</v>
      </c>
      <c r="N6" s="28">
        <f t="shared" si="0"/>
        <v>4166.666666666667</v>
      </c>
      <c r="O6" s="28">
        <f t="shared" si="1"/>
        <v>4166.666666666667</v>
      </c>
      <c r="P6" s="28">
        <f t="shared" si="1"/>
        <v>4166.666666666667</v>
      </c>
      <c r="Q6" s="28">
        <f t="shared" si="1"/>
        <v>4166.666666666667</v>
      </c>
      <c r="R6" s="28">
        <f t="shared" si="1"/>
        <v>4166.666666666667</v>
      </c>
      <c r="S6" s="28">
        <f t="shared" si="1"/>
        <v>4166.666666666667</v>
      </c>
      <c r="T6" s="28">
        <f t="shared" si="1"/>
        <v>4166.666666666667</v>
      </c>
      <c r="U6" s="28">
        <f t="shared" si="1"/>
        <v>4166.666666666667</v>
      </c>
      <c r="V6" s="28">
        <f t="shared" si="1"/>
        <v>4166.666666666667</v>
      </c>
      <c r="W6" s="28">
        <f t="shared" si="1"/>
        <v>4166.666666666667</v>
      </c>
      <c r="X6" s="28">
        <f t="shared" si="1"/>
        <v>4166.666666666667</v>
      </c>
      <c r="Y6" s="28">
        <f t="shared" si="1"/>
        <v>4166.666666666667</v>
      </c>
      <c r="Z6" s="28">
        <f t="shared" si="1"/>
        <v>4166.666666666667</v>
      </c>
      <c r="AA6" s="28">
        <f t="shared" si="1"/>
        <v>4166.666666666667</v>
      </c>
      <c r="AB6" s="28">
        <f t="shared" si="1"/>
        <v>4166.666666666667</v>
      </c>
      <c r="AC6" s="6"/>
      <c r="AD6" s="2"/>
      <c r="AE6" s="2"/>
    </row>
    <row r="7" spans="1:32" x14ac:dyDescent="0.25">
      <c r="A7" s="22" t="s">
        <v>17</v>
      </c>
      <c r="B7" s="108">
        <v>75000</v>
      </c>
      <c r="C7" s="109"/>
      <c r="D7" s="26" t="s">
        <v>2</v>
      </c>
      <c r="E7" s="27">
        <f t="shared" si="0"/>
        <v>6250</v>
      </c>
      <c r="F7" s="28">
        <f t="shared" si="0"/>
        <v>6250</v>
      </c>
      <c r="G7" s="28">
        <f t="shared" si="0"/>
        <v>6250</v>
      </c>
      <c r="H7" s="28">
        <f t="shared" si="0"/>
        <v>6250</v>
      </c>
      <c r="I7" s="28">
        <f t="shared" si="0"/>
        <v>6250</v>
      </c>
      <c r="J7" s="28">
        <f t="shared" si="0"/>
        <v>6250</v>
      </c>
      <c r="K7" s="28">
        <f t="shared" si="0"/>
        <v>6250</v>
      </c>
      <c r="L7" s="28">
        <f t="shared" si="0"/>
        <v>6250</v>
      </c>
      <c r="M7" s="28">
        <f t="shared" si="0"/>
        <v>6250</v>
      </c>
      <c r="N7" s="28">
        <f t="shared" si="0"/>
        <v>6250</v>
      </c>
      <c r="O7" s="28">
        <f t="shared" si="1"/>
        <v>6250</v>
      </c>
      <c r="P7" s="28">
        <f t="shared" si="1"/>
        <v>6250</v>
      </c>
      <c r="Q7" s="28">
        <f t="shared" si="1"/>
        <v>6250</v>
      </c>
      <c r="R7" s="28">
        <f t="shared" si="1"/>
        <v>6250</v>
      </c>
      <c r="S7" s="28">
        <f t="shared" si="1"/>
        <v>6250</v>
      </c>
      <c r="T7" s="28">
        <f t="shared" si="1"/>
        <v>6250</v>
      </c>
      <c r="U7" s="28">
        <f t="shared" si="1"/>
        <v>6250</v>
      </c>
      <c r="V7" s="28">
        <f t="shared" si="1"/>
        <v>6250</v>
      </c>
      <c r="W7" s="28">
        <f t="shared" si="1"/>
        <v>6250</v>
      </c>
      <c r="X7" s="28">
        <f t="shared" si="1"/>
        <v>6250</v>
      </c>
      <c r="Y7" s="28">
        <f t="shared" si="1"/>
        <v>6250</v>
      </c>
      <c r="Z7" s="28">
        <f t="shared" si="1"/>
        <v>6250</v>
      </c>
      <c r="AA7" s="28">
        <f t="shared" si="1"/>
        <v>6250</v>
      </c>
      <c r="AB7" s="28">
        <f t="shared" si="1"/>
        <v>6250</v>
      </c>
      <c r="AC7" s="6"/>
      <c r="AD7" s="2"/>
      <c r="AE7" s="2"/>
    </row>
    <row r="8" spans="1:32" x14ac:dyDescent="0.25">
      <c r="A8" s="22" t="s">
        <v>44</v>
      </c>
      <c r="B8" s="108">
        <v>75000</v>
      </c>
      <c r="C8" s="109"/>
      <c r="D8" s="26" t="s">
        <v>2</v>
      </c>
      <c r="E8" s="27"/>
      <c r="F8" s="28"/>
      <c r="G8" s="28"/>
      <c r="H8" s="28">
        <f t="shared" ref="H8:Y9" si="2">$B8/12</f>
        <v>6250</v>
      </c>
      <c r="I8" s="28">
        <f t="shared" si="2"/>
        <v>6250</v>
      </c>
      <c r="J8" s="28">
        <f t="shared" si="2"/>
        <v>6250</v>
      </c>
      <c r="K8" s="28">
        <f t="shared" si="2"/>
        <v>6250</v>
      </c>
      <c r="L8" s="28">
        <f t="shared" si="2"/>
        <v>6250</v>
      </c>
      <c r="M8" s="28">
        <f t="shared" si="2"/>
        <v>6250</v>
      </c>
      <c r="N8" s="28">
        <f t="shared" si="2"/>
        <v>6250</v>
      </c>
      <c r="O8" s="28">
        <f t="shared" si="2"/>
        <v>6250</v>
      </c>
      <c r="P8" s="28">
        <f t="shared" si="2"/>
        <v>6250</v>
      </c>
      <c r="Q8" s="28">
        <f t="shared" si="2"/>
        <v>6250</v>
      </c>
      <c r="R8" s="28">
        <f t="shared" si="2"/>
        <v>6250</v>
      </c>
      <c r="S8" s="28">
        <f t="shared" si="2"/>
        <v>6250</v>
      </c>
      <c r="T8" s="28">
        <f t="shared" si="2"/>
        <v>6250</v>
      </c>
      <c r="U8" s="28">
        <f t="shared" si="2"/>
        <v>6250</v>
      </c>
      <c r="V8" s="28">
        <f t="shared" si="2"/>
        <v>6250</v>
      </c>
      <c r="W8" s="28">
        <f t="shared" si="2"/>
        <v>6250</v>
      </c>
      <c r="X8" s="28">
        <f t="shared" si="1"/>
        <v>6250</v>
      </c>
      <c r="Y8" s="28">
        <f t="shared" si="2"/>
        <v>6250</v>
      </c>
      <c r="Z8" s="28">
        <f t="shared" si="1"/>
        <v>6250</v>
      </c>
      <c r="AA8" s="28">
        <f t="shared" si="1"/>
        <v>6250</v>
      </c>
      <c r="AB8" s="28">
        <f t="shared" si="1"/>
        <v>6250</v>
      </c>
      <c r="AC8" s="6"/>
      <c r="AD8" s="2"/>
      <c r="AE8" s="2"/>
    </row>
    <row r="9" spans="1:32" x14ac:dyDescent="0.25">
      <c r="A9" s="22" t="s">
        <v>44</v>
      </c>
      <c r="B9" s="108">
        <v>75000</v>
      </c>
      <c r="C9" s="109"/>
      <c r="D9" s="26" t="s">
        <v>2</v>
      </c>
      <c r="E9" s="27"/>
      <c r="F9" s="28"/>
      <c r="G9" s="28"/>
      <c r="H9" s="28">
        <f t="shared" si="2"/>
        <v>6250</v>
      </c>
      <c r="I9" s="28">
        <f t="shared" si="2"/>
        <v>6250</v>
      </c>
      <c r="J9" s="28">
        <f t="shared" si="2"/>
        <v>6250</v>
      </c>
      <c r="K9" s="28">
        <f t="shared" si="2"/>
        <v>6250</v>
      </c>
      <c r="L9" s="28">
        <f t="shared" si="2"/>
        <v>6250</v>
      </c>
      <c r="M9" s="28">
        <f t="shared" si="2"/>
        <v>6250</v>
      </c>
      <c r="N9" s="28">
        <f t="shared" si="2"/>
        <v>6250</v>
      </c>
      <c r="O9" s="28">
        <f t="shared" si="2"/>
        <v>6250</v>
      </c>
      <c r="P9" s="28">
        <f t="shared" si="2"/>
        <v>6250</v>
      </c>
      <c r="Q9" s="28">
        <f t="shared" si="2"/>
        <v>6250</v>
      </c>
      <c r="R9" s="28">
        <f t="shared" si="2"/>
        <v>6250</v>
      </c>
      <c r="S9" s="28">
        <f t="shared" si="2"/>
        <v>6250</v>
      </c>
      <c r="T9" s="28">
        <f t="shared" si="2"/>
        <v>6250</v>
      </c>
      <c r="U9" s="28">
        <f t="shared" si="2"/>
        <v>6250</v>
      </c>
      <c r="V9" s="28">
        <f t="shared" si="2"/>
        <v>6250</v>
      </c>
      <c r="W9" s="28">
        <f t="shared" si="1"/>
        <v>6250</v>
      </c>
      <c r="X9" s="28">
        <f t="shared" si="1"/>
        <v>6250</v>
      </c>
      <c r="Y9" s="28">
        <f t="shared" si="1"/>
        <v>6250</v>
      </c>
      <c r="Z9" s="28">
        <f t="shared" si="1"/>
        <v>6250</v>
      </c>
      <c r="AA9" s="28">
        <f t="shared" si="1"/>
        <v>6250</v>
      </c>
      <c r="AB9" s="28">
        <f t="shared" si="1"/>
        <v>6250</v>
      </c>
      <c r="AC9" s="6"/>
      <c r="AD9" s="2"/>
      <c r="AE9" s="2"/>
    </row>
    <row r="10" spans="1:32" x14ac:dyDescent="0.25">
      <c r="A10" s="22" t="s">
        <v>44</v>
      </c>
      <c r="B10" s="108">
        <v>75000</v>
      </c>
      <c r="C10" s="109"/>
      <c r="D10" s="26" t="s">
        <v>2</v>
      </c>
      <c r="E10" s="27"/>
      <c r="F10" s="28"/>
      <c r="G10" s="28"/>
      <c r="H10" s="28"/>
      <c r="I10" s="28"/>
      <c r="J10" s="28"/>
      <c r="K10" s="28">
        <f t="shared" ref="K10:Z11" si="3">$B10/12</f>
        <v>6250</v>
      </c>
      <c r="L10" s="28">
        <f t="shared" si="3"/>
        <v>6250</v>
      </c>
      <c r="M10" s="28">
        <f t="shared" si="3"/>
        <v>6250</v>
      </c>
      <c r="N10" s="28">
        <f t="shared" si="3"/>
        <v>6250</v>
      </c>
      <c r="O10" s="28">
        <f t="shared" si="3"/>
        <v>6250</v>
      </c>
      <c r="P10" s="28">
        <f t="shared" si="3"/>
        <v>6250</v>
      </c>
      <c r="Q10" s="28">
        <f t="shared" si="3"/>
        <v>6250</v>
      </c>
      <c r="R10" s="28">
        <f t="shared" si="3"/>
        <v>6250</v>
      </c>
      <c r="S10" s="28">
        <f t="shared" si="3"/>
        <v>6250</v>
      </c>
      <c r="T10" s="28">
        <f t="shared" si="3"/>
        <v>6250</v>
      </c>
      <c r="U10" s="28">
        <f t="shared" si="3"/>
        <v>6250</v>
      </c>
      <c r="V10" s="28">
        <f t="shared" si="3"/>
        <v>6250</v>
      </c>
      <c r="W10" s="28">
        <f t="shared" si="3"/>
        <v>6250</v>
      </c>
      <c r="X10" s="28">
        <f t="shared" si="3"/>
        <v>6250</v>
      </c>
      <c r="Y10" s="28">
        <f t="shared" si="3"/>
        <v>6250</v>
      </c>
      <c r="Z10" s="28">
        <f t="shared" si="3"/>
        <v>6250</v>
      </c>
      <c r="AA10" s="28">
        <f t="shared" si="1"/>
        <v>6250</v>
      </c>
      <c r="AB10" s="28">
        <f t="shared" si="1"/>
        <v>6250</v>
      </c>
      <c r="AC10" s="6"/>
      <c r="AD10" s="2"/>
      <c r="AE10" s="2"/>
    </row>
    <row r="11" spans="1:32" x14ac:dyDescent="0.25">
      <c r="A11" s="22" t="s">
        <v>44</v>
      </c>
      <c r="B11" s="106">
        <v>75000</v>
      </c>
      <c r="C11" s="107"/>
      <c r="D11" s="26" t="s">
        <v>2</v>
      </c>
      <c r="E11" s="27"/>
      <c r="F11" s="28"/>
      <c r="G11" s="28"/>
      <c r="H11" s="28"/>
      <c r="I11" s="28"/>
      <c r="J11" s="28"/>
      <c r="K11" s="28">
        <f t="shared" si="3"/>
        <v>6250</v>
      </c>
      <c r="L11" s="28">
        <f t="shared" si="3"/>
        <v>6250</v>
      </c>
      <c r="M11" s="28">
        <f t="shared" si="3"/>
        <v>6250</v>
      </c>
      <c r="N11" s="28">
        <f t="shared" si="3"/>
        <v>6250</v>
      </c>
      <c r="O11" s="28">
        <f t="shared" si="3"/>
        <v>6250</v>
      </c>
      <c r="P11" s="28">
        <f t="shared" si="3"/>
        <v>6250</v>
      </c>
      <c r="Q11" s="28">
        <f t="shared" si="3"/>
        <v>6250</v>
      </c>
      <c r="R11" s="28">
        <f t="shared" si="3"/>
        <v>6250</v>
      </c>
      <c r="S11" s="28">
        <f t="shared" si="3"/>
        <v>6250</v>
      </c>
      <c r="T11" s="28">
        <f t="shared" si="3"/>
        <v>6250</v>
      </c>
      <c r="U11" s="28">
        <f t="shared" si="3"/>
        <v>6250</v>
      </c>
      <c r="V11" s="28">
        <f t="shared" si="3"/>
        <v>6250</v>
      </c>
      <c r="W11" s="28">
        <f t="shared" si="3"/>
        <v>6250</v>
      </c>
      <c r="X11" s="28">
        <f t="shared" si="3"/>
        <v>6250</v>
      </c>
      <c r="Y11" s="28">
        <f t="shared" si="1"/>
        <v>6250</v>
      </c>
      <c r="Z11" s="28">
        <f t="shared" si="1"/>
        <v>6250</v>
      </c>
      <c r="AA11" s="28">
        <f t="shared" si="1"/>
        <v>6250</v>
      </c>
      <c r="AB11" s="28">
        <f t="shared" si="1"/>
        <v>6250</v>
      </c>
      <c r="AC11" s="6"/>
      <c r="AD11" s="2"/>
      <c r="AE11" s="2"/>
    </row>
    <row r="12" spans="1:32" x14ac:dyDescent="0.25">
      <c r="A12" s="22" t="s">
        <v>44</v>
      </c>
      <c r="B12" s="106">
        <v>75000</v>
      </c>
      <c r="C12" s="107"/>
      <c r="D12" s="26" t="s">
        <v>2</v>
      </c>
      <c r="E12" s="27"/>
      <c r="F12" s="28"/>
      <c r="G12" s="28"/>
      <c r="H12" s="28"/>
      <c r="I12" s="28"/>
      <c r="J12" s="28"/>
      <c r="K12" s="28"/>
      <c r="L12" s="28"/>
      <c r="M12" s="28">
        <f t="shared" ref="M12:AB12" si="4">$B12/12</f>
        <v>6250</v>
      </c>
      <c r="N12" s="28">
        <f t="shared" si="4"/>
        <v>6250</v>
      </c>
      <c r="O12" s="28">
        <f t="shared" si="4"/>
        <v>6250</v>
      </c>
      <c r="P12" s="28">
        <f t="shared" si="4"/>
        <v>6250</v>
      </c>
      <c r="Q12" s="28">
        <f t="shared" si="4"/>
        <v>6250</v>
      </c>
      <c r="R12" s="28">
        <f t="shared" si="4"/>
        <v>6250</v>
      </c>
      <c r="S12" s="28">
        <f t="shared" si="4"/>
        <v>6250</v>
      </c>
      <c r="T12" s="28">
        <f t="shared" si="4"/>
        <v>6250</v>
      </c>
      <c r="U12" s="28">
        <f t="shared" si="4"/>
        <v>6250</v>
      </c>
      <c r="V12" s="28">
        <f t="shared" si="4"/>
        <v>6250</v>
      </c>
      <c r="W12" s="28">
        <f t="shared" si="4"/>
        <v>6250</v>
      </c>
      <c r="X12" s="28">
        <f t="shared" si="4"/>
        <v>6250</v>
      </c>
      <c r="Y12" s="28">
        <f t="shared" si="4"/>
        <v>6250</v>
      </c>
      <c r="Z12" s="28">
        <f t="shared" si="4"/>
        <v>6250</v>
      </c>
      <c r="AA12" s="28">
        <f t="shared" si="4"/>
        <v>6250</v>
      </c>
      <c r="AB12" s="28">
        <f t="shared" si="4"/>
        <v>6250</v>
      </c>
      <c r="AC12" s="6"/>
      <c r="AD12" s="2"/>
      <c r="AE12" s="2"/>
    </row>
    <row r="13" spans="1:32" x14ac:dyDescent="0.25">
      <c r="A13" s="23" t="s">
        <v>3</v>
      </c>
      <c r="B13" s="100"/>
      <c r="C13" s="101"/>
      <c r="D13" s="102"/>
      <c r="E13" s="27">
        <f t="shared" ref="E13:AB13" si="5">SUM(E3:E11)</f>
        <v>17916.666666666668</v>
      </c>
      <c r="F13" s="28">
        <f t="shared" si="5"/>
        <v>17916.666666666668</v>
      </c>
      <c r="G13" s="28">
        <f t="shared" si="5"/>
        <v>17916.666666666668</v>
      </c>
      <c r="H13" s="28">
        <f t="shared" si="5"/>
        <v>30416.666666666668</v>
      </c>
      <c r="I13" s="28">
        <f t="shared" si="5"/>
        <v>30416.666666666668</v>
      </c>
      <c r="J13" s="28">
        <f t="shared" si="5"/>
        <v>30416.666666666668</v>
      </c>
      <c r="K13" s="28">
        <f t="shared" si="5"/>
        <v>42916.666666666672</v>
      </c>
      <c r="L13" s="28">
        <f t="shared" si="5"/>
        <v>42916.666666666672</v>
      </c>
      <c r="M13" s="28">
        <f t="shared" si="5"/>
        <v>42916.666666666672</v>
      </c>
      <c r="N13" s="28">
        <f t="shared" si="5"/>
        <v>42916.666666666672</v>
      </c>
      <c r="O13" s="28">
        <f t="shared" si="5"/>
        <v>42916.666666666672</v>
      </c>
      <c r="P13" s="28">
        <f t="shared" si="5"/>
        <v>42916.666666666672</v>
      </c>
      <c r="Q13" s="28">
        <f t="shared" si="5"/>
        <v>42916.666666666672</v>
      </c>
      <c r="R13" s="28">
        <f t="shared" si="5"/>
        <v>42916.666666666672</v>
      </c>
      <c r="S13" s="28">
        <f t="shared" si="5"/>
        <v>42916.666666666672</v>
      </c>
      <c r="T13" s="28">
        <f t="shared" si="5"/>
        <v>42916.666666666672</v>
      </c>
      <c r="U13" s="28">
        <f t="shared" si="5"/>
        <v>42916.666666666672</v>
      </c>
      <c r="V13" s="28">
        <f t="shared" si="5"/>
        <v>42916.666666666672</v>
      </c>
      <c r="W13" s="28">
        <f t="shared" si="5"/>
        <v>42916.666666666672</v>
      </c>
      <c r="X13" s="28">
        <f t="shared" si="5"/>
        <v>42916.666666666672</v>
      </c>
      <c r="Y13" s="28">
        <f t="shared" si="5"/>
        <v>42916.666666666672</v>
      </c>
      <c r="Z13" s="28">
        <f t="shared" si="5"/>
        <v>42916.666666666672</v>
      </c>
      <c r="AA13" s="28">
        <f t="shared" si="5"/>
        <v>42916.666666666672</v>
      </c>
      <c r="AB13" s="28">
        <f t="shared" si="5"/>
        <v>42916.666666666672</v>
      </c>
      <c r="AC13" s="4">
        <f>+SUM(E13:P13)</f>
        <v>402500.00000000012</v>
      </c>
      <c r="AD13" s="4">
        <f>SUM(E13:V13)</f>
        <v>660000</v>
      </c>
      <c r="AE13" s="4">
        <f>SUM(E13:AB13)</f>
        <v>917499.99999999977</v>
      </c>
    </row>
    <row r="14" spans="1:32" s="54" customFormat="1" ht="25.5" x14ac:dyDescent="0.2">
      <c r="A14" s="24" t="s">
        <v>59</v>
      </c>
      <c r="B14" s="70">
        <v>0.1</v>
      </c>
      <c r="C14" s="71"/>
      <c r="D14" s="26" t="s">
        <v>58</v>
      </c>
      <c r="E14" s="49">
        <f t="shared" ref="E14:AB14" si="6">+$B$14*E13</f>
        <v>1791.666666666667</v>
      </c>
      <c r="F14" s="50">
        <f t="shared" si="6"/>
        <v>1791.666666666667</v>
      </c>
      <c r="G14" s="50">
        <f t="shared" si="6"/>
        <v>1791.666666666667</v>
      </c>
      <c r="H14" s="50">
        <f t="shared" si="6"/>
        <v>3041.666666666667</v>
      </c>
      <c r="I14" s="50">
        <f t="shared" si="6"/>
        <v>3041.666666666667</v>
      </c>
      <c r="J14" s="50">
        <f t="shared" si="6"/>
        <v>3041.666666666667</v>
      </c>
      <c r="K14" s="50">
        <f t="shared" si="6"/>
        <v>4291.666666666667</v>
      </c>
      <c r="L14" s="50">
        <f t="shared" si="6"/>
        <v>4291.666666666667</v>
      </c>
      <c r="M14" s="50">
        <f t="shared" si="6"/>
        <v>4291.666666666667</v>
      </c>
      <c r="N14" s="50">
        <f t="shared" si="6"/>
        <v>4291.666666666667</v>
      </c>
      <c r="O14" s="50">
        <f t="shared" si="6"/>
        <v>4291.666666666667</v>
      </c>
      <c r="P14" s="50">
        <f t="shared" si="6"/>
        <v>4291.666666666667</v>
      </c>
      <c r="Q14" s="50">
        <f t="shared" si="6"/>
        <v>4291.666666666667</v>
      </c>
      <c r="R14" s="50">
        <f t="shared" si="6"/>
        <v>4291.666666666667</v>
      </c>
      <c r="S14" s="50">
        <f t="shared" si="6"/>
        <v>4291.666666666667</v>
      </c>
      <c r="T14" s="50">
        <f t="shared" si="6"/>
        <v>4291.666666666667</v>
      </c>
      <c r="U14" s="50">
        <f t="shared" si="6"/>
        <v>4291.666666666667</v>
      </c>
      <c r="V14" s="50">
        <f t="shared" si="6"/>
        <v>4291.666666666667</v>
      </c>
      <c r="W14" s="50">
        <f t="shared" si="6"/>
        <v>4291.666666666667</v>
      </c>
      <c r="X14" s="50">
        <f t="shared" si="6"/>
        <v>4291.666666666667</v>
      </c>
      <c r="Y14" s="50">
        <f t="shared" si="6"/>
        <v>4291.666666666667</v>
      </c>
      <c r="Z14" s="50">
        <f t="shared" si="6"/>
        <v>4291.666666666667</v>
      </c>
      <c r="AA14" s="50">
        <f t="shared" si="6"/>
        <v>4291.666666666667</v>
      </c>
      <c r="AB14" s="50">
        <f t="shared" si="6"/>
        <v>4291.666666666667</v>
      </c>
      <c r="AC14" s="51"/>
      <c r="AD14" s="52"/>
      <c r="AE14" s="52"/>
      <c r="AF14" s="53"/>
    </row>
    <row r="15" spans="1:32" s="54" customFormat="1" ht="32.25" thickBot="1" x14ac:dyDescent="0.25">
      <c r="A15" s="24" t="s">
        <v>60</v>
      </c>
      <c r="B15" s="72"/>
      <c r="C15" s="73"/>
      <c r="D15" s="74"/>
      <c r="E15" s="49">
        <f t="shared" ref="E15:AB15" si="7">+SUM(E13:E14)</f>
        <v>19708.333333333336</v>
      </c>
      <c r="F15" s="50">
        <f t="shared" si="7"/>
        <v>19708.333333333336</v>
      </c>
      <c r="G15" s="50">
        <f t="shared" si="7"/>
        <v>19708.333333333336</v>
      </c>
      <c r="H15" s="50">
        <f t="shared" si="7"/>
        <v>33458.333333333336</v>
      </c>
      <c r="I15" s="50">
        <f t="shared" si="7"/>
        <v>33458.333333333336</v>
      </c>
      <c r="J15" s="50">
        <f t="shared" si="7"/>
        <v>33458.333333333336</v>
      </c>
      <c r="K15" s="50">
        <f t="shared" si="7"/>
        <v>47208.333333333336</v>
      </c>
      <c r="L15" s="50">
        <f t="shared" si="7"/>
        <v>47208.333333333336</v>
      </c>
      <c r="M15" s="50">
        <f t="shared" si="7"/>
        <v>47208.333333333336</v>
      </c>
      <c r="N15" s="50">
        <f t="shared" si="7"/>
        <v>47208.333333333336</v>
      </c>
      <c r="O15" s="50">
        <f t="shared" si="7"/>
        <v>47208.333333333336</v>
      </c>
      <c r="P15" s="50">
        <f t="shared" si="7"/>
        <v>47208.333333333336</v>
      </c>
      <c r="Q15" s="50">
        <f t="shared" si="7"/>
        <v>47208.333333333336</v>
      </c>
      <c r="R15" s="50">
        <f t="shared" si="7"/>
        <v>47208.333333333336</v>
      </c>
      <c r="S15" s="50">
        <f t="shared" si="7"/>
        <v>47208.333333333336</v>
      </c>
      <c r="T15" s="50">
        <f t="shared" si="7"/>
        <v>47208.333333333336</v>
      </c>
      <c r="U15" s="50">
        <f t="shared" si="7"/>
        <v>47208.333333333336</v>
      </c>
      <c r="V15" s="50">
        <f t="shared" si="7"/>
        <v>47208.333333333336</v>
      </c>
      <c r="W15" s="50">
        <f t="shared" si="7"/>
        <v>47208.333333333336</v>
      </c>
      <c r="X15" s="50">
        <f t="shared" si="7"/>
        <v>47208.333333333336</v>
      </c>
      <c r="Y15" s="50">
        <f t="shared" si="7"/>
        <v>47208.333333333336</v>
      </c>
      <c r="Z15" s="50">
        <f t="shared" si="7"/>
        <v>47208.333333333336</v>
      </c>
      <c r="AA15" s="50">
        <f t="shared" si="7"/>
        <v>47208.333333333336</v>
      </c>
      <c r="AB15" s="50">
        <f t="shared" si="7"/>
        <v>47208.333333333336</v>
      </c>
      <c r="AC15" s="55">
        <f>+SUM(E15:P15)</f>
        <v>442750</v>
      </c>
      <c r="AD15" s="55">
        <f>SUM(E15:V15)</f>
        <v>726000.00000000012</v>
      </c>
      <c r="AE15" s="55">
        <f>SUM(E15:AB15)</f>
        <v>1009250.0000000003</v>
      </c>
      <c r="AF15" s="53"/>
    </row>
    <row r="16" spans="1:32" ht="16.5" thickBot="1" x14ac:dyDescent="0.3">
      <c r="A16" s="16" t="s">
        <v>5</v>
      </c>
      <c r="B16" s="88"/>
      <c r="C16" s="89"/>
      <c r="D16" s="89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1"/>
      <c r="AC16" s="6"/>
      <c r="AD16" s="2"/>
      <c r="AE16" s="2"/>
    </row>
    <row r="17" spans="1:31" x14ac:dyDescent="0.25">
      <c r="A17" s="29" t="s">
        <v>6</v>
      </c>
      <c r="B17" s="92"/>
      <c r="C17" s="93"/>
      <c r="D17" s="94"/>
      <c r="E17" s="40">
        <v>1</v>
      </c>
      <c r="F17" s="41">
        <v>1</v>
      </c>
      <c r="G17" s="41">
        <v>2</v>
      </c>
      <c r="H17" s="41">
        <v>3</v>
      </c>
      <c r="I17" s="41">
        <v>3</v>
      </c>
      <c r="J17" s="41">
        <v>4</v>
      </c>
      <c r="K17" s="41">
        <v>5</v>
      </c>
      <c r="L17" s="41">
        <v>6</v>
      </c>
      <c r="M17" s="41">
        <v>6</v>
      </c>
      <c r="N17" s="41">
        <v>8</v>
      </c>
      <c r="O17" s="41">
        <v>8</v>
      </c>
      <c r="P17" s="41">
        <v>8</v>
      </c>
      <c r="Q17" s="41">
        <v>8</v>
      </c>
      <c r="R17" s="41">
        <v>8</v>
      </c>
      <c r="S17" s="41">
        <v>8</v>
      </c>
      <c r="T17" s="41">
        <v>8</v>
      </c>
      <c r="U17" s="41">
        <v>8</v>
      </c>
      <c r="V17" s="41">
        <v>8</v>
      </c>
      <c r="W17" s="41">
        <v>8</v>
      </c>
      <c r="X17" s="41">
        <v>8</v>
      </c>
      <c r="Y17" s="41">
        <v>8</v>
      </c>
      <c r="Z17" s="41">
        <v>8</v>
      </c>
      <c r="AA17" s="41">
        <v>8</v>
      </c>
      <c r="AB17" s="41">
        <v>8</v>
      </c>
      <c r="AC17" s="7"/>
      <c r="AD17" s="2"/>
      <c r="AE17" s="2"/>
    </row>
    <row r="18" spans="1:31" ht="25.5" x14ac:dyDescent="0.25">
      <c r="A18" s="29" t="s">
        <v>7</v>
      </c>
      <c r="B18" s="98">
        <v>45</v>
      </c>
      <c r="C18" s="99"/>
      <c r="D18" s="26" t="s">
        <v>8</v>
      </c>
      <c r="E18" s="42">
        <f t="shared" ref="E18:AB18" si="8">$B18*E$17</f>
        <v>45</v>
      </c>
      <c r="F18" s="43">
        <f t="shared" si="8"/>
        <v>45</v>
      </c>
      <c r="G18" s="43">
        <f t="shared" si="8"/>
        <v>90</v>
      </c>
      <c r="H18" s="43">
        <f t="shared" si="8"/>
        <v>135</v>
      </c>
      <c r="I18" s="43">
        <f t="shared" si="8"/>
        <v>135</v>
      </c>
      <c r="J18" s="43">
        <f t="shared" si="8"/>
        <v>180</v>
      </c>
      <c r="K18" s="43">
        <f t="shared" si="8"/>
        <v>225</v>
      </c>
      <c r="L18" s="43">
        <f t="shared" si="8"/>
        <v>270</v>
      </c>
      <c r="M18" s="43">
        <f t="shared" si="8"/>
        <v>270</v>
      </c>
      <c r="N18" s="43">
        <f t="shared" si="8"/>
        <v>360</v>
      </c>
      <c r="O18" s="43">
        <f t="shared" si="8"/>
        <v>360</v>
      </c>
      <c r="P18" s="43">
        <f t="shared" si="8"/>
        <v>360</v>
      </c>
      <c r="Q18" s="43">
        <f t="shared" si="8"/>
        <v>360</v>
      </c>
      <c r="R18" s="43">
        <f t="shared" si="8"/>
        <v>360</v>
      </c>
      <c r="S18" s="43">
        <f t="shared" si="8"/>
        <v>360</v>
      </c>
      <c r="T18" s="43">
        <f t="shared" si="8"/>
        <v>360</v>
      </c>
      <c r="U18" s="43">
        <f t="shared" si="8"/>
        <v>360</v>
      </c>
      <c r="V18" s="43">
        <f t="shared" si="8"/>
        <v>360</v>
      </c>
      <c r="W18" s="43">
        <f t="shared" si="8"/>
        <v>360</v>
      </c>
      <c r="X18" s="43">
        <f t="shared" si="8"/>
        <v>360</v>
      </c>
      <c r="Y18" s="43">
        <f t="shared" si="8"/>
        <v>360</v>
      </c>
      <c r="Z18" s="43">
        <f t="shared" si="8"/>
        <v>360</v>
      </c>
      <c r="AA18" s="43">
        <f t="shared" si="8"/>
        <v>360</v>
      </c>
      <c r="AB18" s="43">
        <f t="shared" si="8"/>
        <v>360</v>
      </c>
      <c r="AC18" s="6"/>
      <c r="AD18" s="2"/>
      <c r="AE18" s="2"/>
    </row>
    <row r="19" spans="1:31" x14ac:dyDescent="0.25">
      <c r="A19" s="29" t="s">
        <v>9</v>
      </c>
      <c r="B19" s="98">
        <v>125</v>
      </c>
      <c r="C19" s="99"/>
      <c r="D19" s="26" t="s">
        <v>10</v>
      </c>
      <c r="E19" s="42">
        <f t="shared" ref="E19:N19" si="9">$B19</f>
        <v>125</v>
      </c>
      <c r="F19" s="43">
        <f t="shared" si="9"/>
        <v>125</v>
      </c>
      <c r="G19" s="43">
        <f t="shared" si="9"/>
        <v>125</v>
      </c>
      <c r="H19" s="43">
        <f t="shared" si="9"/>
        <v>125</v>
      </c>
      <c r="I19" s="43">
        <f t="shared" si="9"/>
        <v>125</v>
      </c>
      <c r="J19" s="43">
        <f t="shared" si="9"/>
        <v>125</v>
      </c>
      <c r="K19" s="43">
        <f t="shared" si="9"/>
        <v>125</v>
      </c>
      <c r="L19" s="43">
        <f t="shared" si="9"/>
        <v>125</v>
      </c>
      <c r="M19" s="43">
        <f t="shared" si="9"/>
        <v>125</v>
      </c>
      <c r="N19" s="43">
        <f t="shared" si="9"/>
        <v>125</v>
      </c>
      <c r="O19" s="43">
        <f t="shared" ref="O19:AB19" si="10">$B19</f>
        <v>125</v>
      </c>
      <c r="P19" s="43">
        <f t="shared" si="10"/>
        <v>125</v>
      </c>
      <c r="Q19" s="43">
        <f t="shared" si="10"/>
        <v>125</v>
      </c>
      <c r="R19" s="43">
        <f t="shared" si="10"/>
        <v>125</v>
      </c>
      <c r="S19" s="43">
        <f t="shared" si="10"/>
        <v>125</v>
      </c>
      <c r="T19" s="43">
        <f t="shared" si="10"/>
        <v>125</v>
      </c>
      <c r="U19" s="43">
        <f t="shared" si="10"/>
        <v>125</v>
      </c>
      <c r="V19" s="43">
        <f t="shared" si="10"/>
        <v>125</v>
      </c>
      <c r="W19" s="43">
        <f t="shared" si="10"/>
        <v>125</v>
      </c>
      <c r="X19" s="43">
        <f t="shared" si="10"/>
        <v>125</v>
      </c>
      <c r="Y19" s="43">
        <f t="shared" si="10"/>
        <v>125</v>
      </c>
      <c r="Z19" s="43">
        <f t="shared" si="10"/>
        <v>125</v>
      </c>
      <c r="AA19" s="43">
        <f t="shared" si="10"/>
        <v>125</v>
      </c>
      <c r="AB19" s="43">
        <f t="shared" si="10"/>
        <v>125</v>
      </c>
      <c r="AC19" s="6"/>
      <c r="AD19" s="2"/>
      <c r="AE19" s="2"/>
    </row>
    <row r="20" spans="1:31" ht="25.5" x14ac:dyDescent="0.25">
      <c r="A20" s="29" t="s">
        <v>70</v>
      </c>
      <c r="B20" s="98">
        <v>5</v>
      </c>
      <c r="C20" s="99"/>
      <c r="D20" s="26" t="s">
        <v>4</v>
      </c>
      <c r="E20" s="42">
        <f t="shared" ref="E20:AB20" si="11">$B20*COUNT(E3:E12)</f>
        <v>25</v>
      </c>
      <c r="F20" s="43">
        <f t="shared" si="11"/>
        <v>25</v>
      </c>
      <c r="G20" s="43">
        <f t="shared" si="11"/>
        <v>25</v>
      </c>
      <c r="H20" s="43">
        <f t="shared" si="11"/>
        <v>35</v>
      </c>
      <c r="I20" s="43">
        <f t="shared" si="11"/>
        <v>35</v>
      </c>
      <c r="J20" s="43">
        <f t="shared" si="11"/>
        <v>35</v>
      </c>
      <c r="K20" s="43">
        <f t="shared" si="11"/>
        <v>45</v>
      </c>
      <c r="L20" s="43">
        <f t="shared" si="11"/>
        <v>45</v>
      </c>
      <c r="M20" s="43">
        <f t="shared" si="11"/>
        <v>50</v>
      </c>
      <c r="N20" s="43">
        <f t="shared" si="11"/>
        <v>50</v>
      </c>
      <c r="O20" s="43">
        <f t="shared" si="11"/>
        <v>50</v>
      </c>
      <c r="P20" s="43">
        <f t="shared" si="11"/>
        <v>50</v>
      </c>
      <c r="Q20" s="43">
        <f t="shared" si="11"/>
        <v>50</v>
      </c>
      <c r="R20" s="43">
        <f t="shared" si="11"/>
        <v>50</v>
      </c>
      <c r="S20" s="43">
        <f t="shared" si="11"/>
        <v>50</v>
      </c>
      <c r="T20" s="43">
        <f t="shared" si="11"/>
        <v>50</v>
      </c>
      <c r="U20" s="43">
        <f t="shared" si="11"/>
        <v>50</v>
      </c>
      <c r="V20" s="43">
        <f t="shared" si="11"/>
        <v>50</v>
      </c>
      <c r="W20" s="43">
        <f t="shared" si="11"/>
        <v>50</v>
      </c>
      <c r="X20" s="43">
        <f t="shared" si="11"/>
        <v>50</v>
      </c>
      <c r="Y20" s="43">
        <f t="shared" si="11"/>
        <v>50</v>
      </c>
      <c r="Z20" s="43">
        <f t="shared" si="11"/>
        <v>50</v>
      </c>
      <c r="AA20" s="43">
        <f t="shared" si="11"/>
        <v>50</v>
      </c>
      <c r="AB20" s="43">
        <f t="shared" si="11"/>
        <v>50</v>
      </c>
      <c r="AC20" s="6"/>
      <c r="AD20" s="2"/>
      <c r="AE20" s="2"/>
    </row>
    <row r="21" spans="1:31" x14ac:dyDescent="0.25">
      <c r="A21" s="29" t="s">
        <v>11</v>
      </c>
      <c r="B21" s="98">
        <v>50</v>
      </c>
      <c r="C21" s="99"/>
      <c r="D21" s="26" t="s">
        <v>10</v>
      </c>
      <c r="E21" s="42">
        <f t="shared" ref="E21:AB21" si="12">$B21</f>
        <v>50</v>
      </c>
      <c r="F21" s="43">
        <f t="shared" si="12"/>
        <v>50</v>
      </c>
      <c r="G21" s="43">
        <f t="shared" si="12"/>
        <v>50</v>
      </c>
      <c r="H21" s="43">
        <f t="shared" si="12"/>
        <v>50</v>
      </c>
      <c r="I21" s="43">
        <f t="shared" si="12"/>
        <v>50</v>
      </c>
      <c r="J21" s="43">
        <f t="shared" si="12"/>
        <v>50</v>
      </c>
      <c r="K21" s="43">
        <f t="shared" si="12"/>
        <v>50</v>
      </c>
      <c r="L21" s="43">
        <f t="shared" si="12"/>
        <v>50</v>
      </c>
      <c r="M21" s="43">
        <f t="shared" si="12"/>
        <v>50</v>
      </c>
      <c r="N21" s="43">
        <f t="shared" si="12"/>
        <v>50</v>
      </c>
      <c r="O21" s="43">
        <f t="shared" si="12"/>
        <v>50</v>
      </c>
      <c r="P21" s="43">
        <f t="shared" si="12"/>
        <v>50</v>
      </c>
      <c r="Q21" s="43">
        <f t="shared" si="12"/>
        <v>50</v>
      </c>
      <c r="R21" s="43">
        <f t="shared" si="12"/>
        <v>50</v>
      </c>
      <c r="S21" s="43">
        <f t="shared" si="12"/>
        <v>50</v>
      </c>
      <c r="T21" s="43">
        <f t="shared" si="12"/>
        <v>50</v>
      </c>
      <c r="U21" s="43">
        <f t="shared" si="12"/>
        <v>50</v>
      </c>
      <c r="V21" s="43">
        <f t="shared" si="12"/>
        <v>50</v>
      </c>
      <c r="W21" s="43">
        <f t="shared" si="12"/>
        <v>50</v>
      </c>
      <c r="X21" s="43">
        <f t="shared" si="12"/>
        <v>50</v>
      </c>
      <c r="Y21" s="43">
        <f t="shared" si="12"/>
        <v>50</v>
      </c>
      <c r="Z21" s="43">
        <f t="shared" si="12"/>
        <v>50</v>
      </c>
      <c r="AA21" s="43">
        <f t="shared" si="12"/>
        <v>50</v>
      </c>
      <c r="AB21" s="43">
        <f t="shared" si="12"/>
        <v>50</v>
      </c>
      <c r="AC21" s="6"/>
      <c r="AD21" s="2"/>
      <c r="AE21" s="2"/>
    </row>
    <row r="22" spans="1:31" ht="25.5" x14ac:dyDescent="0.25">
      <c r="A22" s="29" t="s">
        <v>12</v>
      </c>
      <c r="B22" s="98">
        <v>20</v>
      </c>
      <c r="C22" s="99"/>
      <c r="D22" s="26" t="s">
        <v>8</v>
      </c>
      <c r="E22" s="42">
        <f t="shared" ref="E22:AB22" si="13">$B22*E$17</f>
        <v>20</v>
      </c>
      <c r="F22" s="43">
        <f t="shared" si="13"/>
        <v>20</v>
      </c>
      <c r="G22" s="43">
        <f t="shared" si="13"/>
        <v>40</v>
      </c>
      <c r="H22" s="43">
        <f t="shared" si="13"/>
        <v>60</v>
      </c>
      <c r="I22" s="43">
        <f t="shared" si="13"/>
        <v>60</v>
      </c>
      <c r="J22" s="43">
        <f t="shared" si="13"/>
        <v>80</v>
      </c>
      <c r="K22" s="43">
        <f t="shared" si="13"/>
        <v>100</v>
      </c>
      <c r="L22" s="43">
        <f t="shared" si="13"/>
        <v>120</v>
      </c>
      <c r="M22" s="43">
        <f t="shared" si="13"/>
        <v>120</v>
      </c>
      <c r="N22" s="43">
        <f t="shared" si="13"/>
        <v>160</v>
      </c>
      <c r="O22" s="43">
        <f t="shared" si="13"/>
        <v>160</v>
      </c>
      <c r="P22" s="43">
        <f t="shared" si="13"/>
        <v>160</v>
      </c>
      <c r="Q22" s="43">
        <f t="shared" si="13"/>
        <v>160</v>
      </c>
      <c r="R22" s="43">
        <f t="shared" si="13"/>
        <v>160</v>
      </c>
      <c r="S22" s="43">
        <f t="shared" si="13"/>
        <v>160</v>
      </c>
      <c r="T22" s="43">
        <f t="shared" si="13"/>
        <v>160</v>
      </c>
      <c r="U22" s="43">
        <f t="shared" si="13"/>
        <v>160</v>
      </c>
      <c r="V22" s="43">
        <f t="shared" si="13"/>
        <v>160</v>
      </c>
      <c r="W22" s="43">
        <f t="shared" si="13"/>
        <v>160</v>
      </c>
      <c r="X22" s="43">
        <f t="shared" si="13"/>
        <v>160</v>
      </c>
      <c r="Y22" s="43">
        <f t="shared" si="13"/>
        <v>160</v>
      </c>
      <c r="Z22" s="43">
        <f t="shared" si="13"/>
        <v>160</v>
      </c>
      <c r="AA22" s="43">
        <f t="shared" si="13"/>
        <v>160</v>
      </c>
      <c r="AB22" s="43">
        <f t="shared" si="13"/>
        <v>160</v>
      </c>
      <c r="AC22" s="6"/>
      <c r="AD22" s="2"/>
      <c r="AE22" s="2"/>
    </row>
    <row r="23" spans="1:31" ht="16.5" thickBot="1" x14ac:dyDescent="0.3">
      <c r="A23" s="23" t="s">
        <v>13</v>
      </c>
      <c r="B23" s="95"/>
      <c r="C23" s="96"/>
      <c r="D23" s="97"/>
      <c r="E23" s="42">
        <f t="shared" ref="E23:AB23" si="14">SUM(E18:E22)</f>
        <v>265</v>
      </c>
      <c r="F23" s="43">
        <f t="shared" si="14"/>
        <v>265</v>
      </c>
      <c r="G23" s="43">
        <f t="shared" si="14"/>
        <v>330</v>
      </c>
      <c r="H23" s="43">
        <f t="shared" si="14"/>
        <v>405</v>
      </c>
      <c r="I23" s="43">
        <f t="shared" si="14"/>
        <v>405</v>
      </c>
      <c r="J23" s="43">
        <f t="shared" si="14"/>
        <v>470</v>
      </c>
      <c r="K23" s="43">
        <f t="shared" si="14"/>
        <v>545</v>
      </c>
      <c r="L23" s="43">
        <f t="shared" si="14"/>
        <v>610</v>
      </c>
      <c r="M23" s="43">
        <f t="shared" si="14"/>
        <v>615</v>
      </c>
      <c r="N23" s="43">
        <f t="shared" si="14"/>
        <v>745</v>
      </c>
      <c r="O23" s="43">
        <f t="shared" si="14"/>
        <v>745</v>
      </c>
      <c r="P23" s="43">
        <f t="shared" si="14"/>
        <v>745</v>
      </c>
      <c r="Q23" s="43">
        <f t="shared" si="14"/>
        <v>745</v>
      </c>
      <c r="R23" s="43">
        <f t="shared" si="14"/>
        <v>745</v>
      </c>
      <c r="S23" s="43">
        <f t="shared" si="14"/>
        <v>745</v>
      </c>
      <c r="T23" s="43">
        <f t="shared" si="14"/>
        <v>745</v>
      </c>
      <c r="U23" s="43">
        <f t="shared" si="14"/>
        <v>745</v>
      </c>
      <c r="V23" s="43">
        <f t="shared" si="14"/>
        <v>745</v>
      </c>
      <c r="W23" s="43">
        <f t="shared" si="14"/>
        <v>745</v>
      </c>
      <c r="X23" s="43">
        <f t="shared" si="14"/>
        <v>745</v>
      </c>
      <c r="Y23" s="43">
        <f t="shared" si="14"/>
        <v>745</v>
      </c>
      <c r="Z23" s="43">
        <f t="shared" si="14"/>
        <v>745</v>
      </c>
      <c r="AA23" s="43">
        <f t="shared" si="14"/>
        <v>745</v>
      </c>
      <c r="AB23" s="43">
        <f t="shared" si="14"/>
        <v>745</v>
      </c>
      <c r="AC23" s="4">
        <f>+SUM(E23:P23)</f>
        <v>6145</v>
      </c>
      <c r="AD23" s="4">
        <f>SUM(E23:V23)</f>
        <v>10615</v>
      </c>
      <c r="AE23" s="4">
        <f>SUM(E23:AB23)</f>
        <v>15085</v>
      </c>
    </row>
    <row r="24" spans="1:31" ht="16.5" thickBot="1" x14ac:dyDescent="0.3">
      <c r="A24" s="11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4"/>
      <c r="AC24" s="9"/>
      <c r="AD24" s="2"/>
      <c r="AE24" s="2"/>
    </row>
    <row r="25" spans="1:31" x14ac:dyDescent="0.25">
      <c r="A25" s="13" t="s">
        <v>14</v>
      </c>
      <c r="B25" s="45" t="s">
        <v>68</v>
      </c>
      <c r="C25" s="46" t="s">
        <v>69</v>
      </c>
      <c r="D25" s="47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6"/>
      <c r="AC25" s="6"/>
      <c r="AD25" s="2"/>
      <c r="AE25" s="2"/>
    </row>
    <row r="26" spans="1:31" x14ac:dyDescent="0.25">
      <c r="A26" s="14" t="s">
        <v>55</v>
      </c>
      <c r="B26" s="44">
        <f>SUM(E26:P26)</f>
        <v>20000</v>
      </c>
      <c r="C26" s="39">
        <f>SUM(Q26:AB26)</f>
        <v>0</v>
      </c>
      <c r="D26" s="48" t="s">
        <v>15</v>
      </c>
      <c r="E26" s="20">
        <v>20000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6"/>
      <c r="AD26" s="2"/>
      <c r="AE26" s="2"/>
    </row>
    <row r="27" spans="1:31" x14ac:dyDescent="0.25">
      <c r="A27" s="14" t="s">
        <v>56</v>
      </c>
      <c r="B27" s="32">
        <v>500</v>
      </c>
      <c r="C27" s="31">
        <v>500</v>
      </c>
      <c r="D27" s="26" t="s">
        <v>10</v>
      </c>
      <c r="E27" s="49">
        <f t="shared" ref="E27:AB29" si="15">$B27</f>
        <v>500</v>
      </c>
      <c r="F27" s="50">
        <f t="shared" si="15"/>
        <v>500</v>
      </c>
      <c r="G27" s="50">
        <f t="shared" si="15"/>
        <v>500</v>
      </c>
      <c r="H27" s="50">
        <f t="shared" si="15"/>
        <v>500</v>
      </c>
      <c r="I27" s="50">
        <f t="shared" si="15"/>
        <v>500</v>
      </c>
      <c r="J27" s="50">
        <f t="shared" si="15"/>
        <v>500</v>
      </c>
      <c r="K27" s="50">
        <f t="shared" si="15"/>
        <v>500</v>
      </c>
      <c r="L27" s="50">
        <f t="shared" si="15"/>
        <v>500</v>
      </c>
      <c r="M27" s="50">
        <f t="shared" si="15"/>
        <v>500</v>
      </c>
      <c r="N27" s="50">
        <f t="shared" si="15"/>
        <v>500</v>
      </c>
      <c r="O27" s="50">
        <f t="shared" si="15"/>
        <v>500</v>
      </c>
      <c r="P27" s="50">
        <f t="shared" si="15"/>
        <v>500</v>
      </c>
      <c r="Q27" s="50">
        <f t="shared" si="15"/>
        <v>500</v>
      </c>
      <c r="R27" s="50">
        <f t="shared" si="15"/>
        <v>500</v>
      </c>
      <c r="S27" s="50">
        <f t="shared" si="15"/>
        <v>500</v>
      </c>
      <c r="T27" s="50">
        <f t="shared" si="15"/>
        <v>500</v>
      </c>
      <c r="U27" s="50">
        <f t="shared" si="15"/>
        <v>500</v>
      </c>
      <c r="V27" s="50">
        <f t="shared" si="15"/>
        <v>500</v>
      </c>
      <c r="W27" s="50">
        <f t="shared" si="15"/>
        <v>500</v>
      </c>
      <c r="X27" s="50">
        <f t="shared" si="15"/>
        <v>500</v>
      </c>
      <c r="Y27" s="50">
        <f t="shared" si="15"/>
        <v>500</v>
      </c>
      <c r="Z27" s="50">
        <f t="shared" si="15"/>
        <v>500</v>
      </c>
      <c r="AA27" s="50">
        <f t="shared" si="15"/>
        <v>500</v>
      </c>
      <c r="AB27" s="50">
        <f t="shared" si="15"/>
        <v>500</v>
      </c>
      <c r="AC27" s="6"/>
      <c r="AD27" s="2"/>
      <c r="AE27" s="2"/>
    </row>
    <row r="28" spans="1:31" ht="25.5" x14ac:dyDescent="0.25">
      <c r="A28" s="19" t="s">
        <v>51</v>
      </c>
      <c r="B28" s="32">
        <v>6000</v>
      </c>
      <c r="C28" s="31">
        <v>6000</v>
      </c>
      <c r="D28" s="26" t="s">
        <v>61</v>
      </c>
      <c r="E28" s="56">
        <f>$B$28/12</f>
        <v>500</v>
      </c>
      <c r="F28" s="57">
        <f t="shared" ref="F28:P28" si="16">$B$28/12</f>
        <v>500</v>
      </c>
      <c r="G28" s="57">
        <f t="shared" si="16"/>
        <v>500</v>
      </c>
      <c r="H28" s="57">
        <f t="shared" si="16"/>
        <v>500</v>
      </c>
      <c r="I28" s="57">
        <f t="shared" si="16"/>
        <v>500</v>
      </c>
      <c r="J28" s="57">
        <f t="shared" si="16"/>
        <v>500</v>
      </c>
      <c r="K28" s="57">
        <f t="shared" si="16"/>
        <v>500</v>
      </c>
      <c r="L28" s="57">
        <f t="shared" si="16"/>
        <v>500</v>
      </c>
      <c r="M28" s="57">
        <f t="shared" si="16"/>
        <v>500</v>
      </c>
      <c r="N28" s="57">
        <f t="shared" si="16"/>
        <v>500</v>
      </c>
      <c r="O28" s="57">
        <f t="shared" si="16"/>
        <v>500</v>
      </c>
      <c r="P28" s="57">
        <f t="shared" si="16"/>
        <v>500</v>
      </c>
      <c r="Q28" s="43">
        <f>$C$28/12</f>
        <v>500</v>
      </c>
      <c r="R28" s="43">
        <f t="shared" ref="R28:AB28" si="17">$C$28/12</f>
        <v>500</v>
      </c>
      <c r="S28" s="43">
        <f t="shared" si="17"/>
        <v>500</v>
      </c>
      <c r="T28" s="43">
        <f t="shared" si="17"/>
        <v>500</v>
      </c>
      <c r="U28" s="43">
        <f t="shared" si="17"/>
        <v>500</v>
      </c>
      <c r="V28" s="43">
        <f t="shared" si="17"/>
        <v>500</v>
      </c>
      <c r="W28" s="43">
        <f t="shared" si="17"/>
        <v>500</v>
      </c>
      <c r="X28" s="43">
        <f t="shared" si="17"/>
        <v>500</v>
      </c>
      <c r="Y28" s="43">
        <f t="shared" si="17"/>
        <v>500</v>
      </c>
      <c r="Z28" s="43">
        <f t="shared" si="17"/>
        <v>500</v>
      </c>
      <c r="AA28" s="43">
        <f t="shared" si="17"/>
        <v>500</v>
      </c>
      <c r="AB28" s="43">
        <f t="shared" si="17"/>
        <v>500</v>
      </c>
      <c r="AC28" s="30"/>
      <c r="AD28" s="2"/>
      <c r="AE28" s="2"/>
    </row>
    <row r="29" spans="1:31" x14ac:dyDescent="0.25">
      <c r="A29" s="14" t="s">
        <v>52</v>
      </c>
      <c r="B29" s="32">
        <v>200</v>
      </c>
      <c r="C29" s="31">
        <v>200</v>
      </c>
      <c r="D29" s="26" t="s">
        <v>10</v>
      </c>
      <c r="E29" s="49">
        <f t="shared" si="15"/>
        <v>200</v>
      </c>
      <c r="F29" s="50">
        <f t="shared" si="15"/>
        <v>200</v>
      </c>
      <c r="G29" s="50">
        <f t="shared" si="15"/>
        <v>200</v>
      </c>
      <c r="H29" s="50">
        <f t="shared" si="15"/>
        <v>200</v>
      </c>
      <c r="I29" s="50">
        <f t="shared" si="15"/>
        <v>200</v>
      </c>
      <c r="J29" s="50">
        <f t="shared" si="15"/>
        <v>200</v>
      </c>
      <c r="K29" s="50">
        <f t="shared" si="15"/>
        <v>200</v>
      </c>
      <c r="L29" s="50">
        <f t="shared" si="15"/>
        <v>200</v>
      </c>
      <c r="M29" s="50">
        <f t="shared" si="15"/>
        <v>200</v>
      </c>
      <c r="N29" s="50">
        <f t="shared" si="15"/>
        <v>200</v>
      </c>
      <c r="O29" s="50">
        <f t="shared" si="15"/>
        <v>200</v>
      </c>
      <c r="P29" s="50">
        <f t="shared" si="15"/>
        <v>200</v>
      </c>
      <c r="Q29" s="50">
        <f t="shared" si="15"/>
        <v>200</v>
      </c>
      <c r="R29" s="50">
        <f t="shared" si="15"/>
        <v>200</v>
      </c>
      <c r="S29" s="50">
        <f t="shared" si="15"/>
        <v>200</v>
      </c>
      <c r="T29" s="50">
        <f t="shared" si="15"/>
        <v>200</v>
      </c>
      <c r="U29" s="50">
        <f t="shared" si="15"/>
        <v>200</v>
      </c>
      <c r="V29" s="50">
        <f t="shared" si="15"/>
        <v>200</v>
      </c>
      <c r="W29" s="50">
        <f t="shared" si="15"/>
        <v>200</v>
      </c>
      <c r="X29" s="50">
        <f t="shared" si="15"/>
        <v>200</v>
      </c>
      <c r="Y29" s="50">
        <f t="shared" si="15"/>
        <v>200</v>
      </c>
      <c r="Z29" s="50">
        <f t="shared" si="15"/>
        <v>200</v>
      </c>
      <c r="AA29" s="50">
        <f t="shared" si="15"/>
        <v>200</v>
      </c>
      <c r="AB29" s="50">
        <f t="shared" si="15"/>
        <v>200</v>
      </c>
      <c r="AC29" s="6"/>
      <c r="AD29" s="2"/>
      <c r="AE29" s="2"/>
    </row>
    <row r="30" spans="1:31" ht="31.5" x14ac:dyDescent="0.25">
      <c r="A30" s="14" t="s">
        <v>46</v>
      </c>
      <c r="B30" s="32">
        <v>5000</v>
      </c>
      <c r="C30" s="31">
        <v>10000</v>
      </c>
      <c r="D30" s="26" t="s">
        <v>10</v>
      </c>
      <c r="E30" s="49">
        <f t="shared" ref="E30:P30" si="18">$B30</f>
        <v>5000</v>
      </c>
      <c r="F30" s="50">
        <f t="shared" si="18"/>
        <v>5000</v>
      </c>
      <c r="G30" s="50">
        <f t="shared" si="18"/>
        <v>5000</v>
      </c>
      <c r="H30" s="50">
        <f t="shared" si="18"/>
        <v>5000</v>
      </c>
      <c r="I30" s="50">
        <f t="shared" si="18"/>
        <v>5000</v>
      </c>
      <c r="J30" s="50">
        <f t="shared" si="18"/>
        <v>5000</v>
      </c>
      <c r="K30" s="50">
        <f t="shared" si="18"/>
        <v>5000</v>
      </c>
      <c r="L30" s="50">
        <f t="shared" si="18"/>
        <v>5000</v>
      </c>
      <c r="M30" s="50">
        <f t="shared" si="18"/>
        <v>5000</v>
      </c>
      <c r="N30" s="50">
        <f t="shared" si="18"/>
        <v>5000</v>
      </c>
      <c r="O30" s="50">
        <f t="shared" si="18"/>
        <v>5000</v>
      </c>
      <c r="P30" s="50">
        <f t="shared" si="18"/>
        <v>5000</v>
      </c>
      <c r="Q30" s="50">
        <f>+$C30</f>
        <v>10000</v>
      </c>
      <c r="R30" s="50">
        <f t="shared" ref="R30:AB31" si="19">+$C30</f>
        <v>10000</v>
      </c>
      <c r="S30" s="50">
        <f t="shared" si="19"/>
        <v>10000</v>
      </c>
      <c r="T30" s="50">
        <f t="shared" si="19"/>
        <v>10000</v>
      </c>
      <c r="U30" s="50">
        <f t="shared" si="19"/>
        <v>10000</v>
      </c>
      <c r="V30" s="50">
        <f t="shared" si="19"/>
        <v>10000</v>
      </c>
      <c r="W30" s="50">
        <f t="shared" si="19"/>
        <v>10000</v>
      </c>
      <c r="X30" s="50">
        <f t="shared" si="19"/>
        <v>10000</v>
      </c>
      <c r="Y30" s="50">
        <f t="shared" si="19"/>
        <v>10000</v>
      </c>
      <c r="Z30" s="50">
        <f t="shared" si="19"/>
        <v>10000</v>
      </c>
      <c r="AA30" s="50">
        <f t="shared" si="19"/>
        <v>10000</v>
      </c>
      <c r="AB30" s="50">
        <f t="shared" si="19"/>
        <v>10000</v>
      </c>
      <c r="AC30" s="6"/>
      <c r="AD30" s="2"/>
      <c r="AE30" s="2"/>
    </row>
    <row r="31" spans="1:31" x14ac:dyDescent="0.25">
      <c r="A31" s="14" t="s">
        <v>47</v>
      </c>
      <c r="B31" s="32">
        <v>3000</v>
      </c>
      <c r="C31" s="31">
        <v>4500</v>
      </c>
      <c r="D31" s="26" t="s">
        <v>10</v>
      </c>
      <c r="E31" s="49">
        <f t="shared" ref="E31:P31" si="20">$B31</f>
        <v>3000</v>
      </c>
      <c r="F31" s="50">
        <f t="shared" si="20"/>
        <v>3000</v>
      </c>
      <c r="G31" s="50">
        <f t="shared" si="20"/>
        <v>3000</v>
      </c>
      <c r="H31" s="50">
        <f t="shared" si="20"/>
        <v>3000</v>
      </c>
      <c r="I31" s="50">
        <f t="shared" si="20"/>
        <v>3000</v>
      </c>
      <c r="J31" s="50">
        <f t="shared" si="20"/>
        <v>3000</v>
      </c>
      <c r="K31" s="50">
        <f t="shared" si="20"/>
        <v>3000</v>
      </c>
      <c r="L31" s="50">
        <f t="shared" si="20"/>
        <v>3000</v>
      </c>
      <c r="M31" s="50">
        <f t="shared" si="20"/>
        <v>3000</v>
      </c>
      <c r="N31" s="50">
        <f t="shared" si="20"/>
        <v>3000</v>
      </c>
      <c r="O31" s="50">
        <f t="shared" si="20"/>
        <v>3000</v>
      </c>
      <c r="P31" s="50">
        <f t="shared" si="20"/>
        <v>3000</v>
      </c>
      <c r="Q31" s="50">
        <f>+$C31</f>
        <v>4500</v>
      </c>
      <c r="R31" s="50">
        <f t="shared" si="19"/>
        <v>4500</v>
      </c>
      <c r="S31" s="50">
        <f t="shared" si="19"/>
        <v>4500</v>
      </c>
      <c r="T31" s="50">
        <f t="shared" si="19"/>
        <v>4500</v>
      </c>
      <c r="U31" s="50">
        <f t="shared" si="19"/>
        <v>4500</v>
      </c>
      <c r="V31" s="50">
        <f t="shared" si="19"/>
        <v>4500</v>
      </c>
      <c r="W31" s="50">
        <f t="shared" si="19"/>
        <v>4500</v>
      </c>
      <c r="X31" s="50">
        <f t="shared" si="19"/>
        <v>4500</v>
      </c>
      <c r="Y31" s="50">
        <f t="shared" si="19"/>
        <v>4500</v>
      </c>
      <c r="Z31" s="50">
        <f t="shared" si="19"/>
        <v>4500</v>
      </c>
      <c r="AA31" s="50">
        <f t="shared" si="19"/>
        <v>4500</v>
      </c>
      <c r="AB31" s="50">
        <f t="shared" si="19"/>
        <v>4500</v>
      </c>
      <c r="AC31" s="6"/>
      <c r="AD31" s="2"/>
      <c r="AE31" s="2"/>
    </row>
    <row r="32" spans="1:31" x14ac:dyDescent="0.25">
      <c r="A32" s="14" t="s">
        <v>50</v>
      </c>
      <c r="B32" s="32">
        <v>250</v>
      </c>
      <c r="C32" s="31">
        <v>350</v>
      </c>
      <c r="D32" s="26" t="s">
        <v>10</v>
      </c>
      <c r="E32" s="49">
        <f t="shared" ref="E32:AB32" si="21">$B32</f>
        <v>250</v>
      </c>
      <c r="F32" s="50">
        <f t="shared" si="21"/>
        <v>250</v>
      </c>
      <c r="G32" s="50">
        <f t="shared" si="21"/>
        <v>250</v>
      </c>
      <c r="H32" s="50">
        <f t="shared" si="21"/>
        <v>250</v>
      </c>
      <c r="I32" s="50">
        <f t="shared" si="21"/>
        <v>250</v>
      </c>
      <c r="J32" s="50">
        <f t="shared" si="21"/>
        <v>250</v>
      </c>
      <c r="K32" s="50">
        <f t="shared" si="21"/>
        <v>250</v>
      </c>
      <c r="L32" s="50">
        <f t="shared" si="21"/>
        <v>250</v>
      </c>
      <c r="M32" s="50">
        <f t="shared" si="21"/>
        <v>250</v>
      </c>
      <c r="N32" s="50">
        <f t="shared" si="21"/>
        <v>250</v>
      </c>
      <c r="O32" s="50">
        <f t="shared" si="21"/>
        <v>250</v>
      </c>
      <c r="P32" s="50">
        <f t="shared" si="21"/>
        <v>250</v>
      </c>
      <c r="Q32" s="50">
        <f t="shared" si="21"/>
        <v>250</v>
      </c>
      <c r="R32" s="50">
        <f t="shared" si="21"/>
        <v>250</v>
      </c>
      <c r="S32" s="50">
        <f t="shared" si="21"/>
        <v>250</v>
      </c>
      <c r="T32" s="50">
        <f t="shared" si="21"/>
        <v>250</v>
      </c>
      <c r="U32" s="50">
        <f t="shared" si="21"/>
        <v>250</v>
      </c>
      <c r="V32" s="50">
        <f t="shared" si="21"/>
        <v>250</v>
      </c>
      <c r="W32" s="50">
        <f t="shared" si="21"/>
        <v>250</v>
      </c>
      <c r="X32" s="50">
        <f t="shared" si="21"/>
        <v>250</v>
      </c>
      <c r="Y32" s="50">
        <f t="shared" si="21"/>
        <v>250</v>
      </c>
      <c r="Z32" s="50">
        <f t="shared" si="21"/>
        <v>250</v>
      </c>
      <c r="AA32" s="50">
        <f t="shared" si="21"/>
        <v>250</v>
      </c>
      <c r="AB32" s="50">
        <f t="shared" si="21"/>
        <v>250</v>
      </c>
      <c r="AC32" s="6"/>
      <c r="AD32" s="2"/>
      <c r="AE32" s="2"/>
    </row>
    <row r="33" spans="1:32" x14ac:dyDescent="0.25">
      <c r="A33" s="14" t="s">
        <v>53</v>
      </c>
      <c r="B33" s="44">
        <f>SUM(E33:P33)</f>
        <v>20000</v>
      </c>
      <c r="C33" s="39">
        <f>SUM(Q33:AB33)</f>
        <v>0</v>
      </c>
      <c r="D33" s="48" t="s">
        <v>15</v>
      </c>
      <c r="E33" s="61">
        <v>10000</v>
      </c>
      <c r="F33" s="21">
        <v>5000</v>
      </c>
      <c r="G33" s="21">
        <v>5000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6"/>
      <c r="AD33" s="2"/>
      <c r="AE33" s="2"/>
    </row>
    <row r="34" spans="1:32" ht="31.5" x14ac:dyDescent="0.25">
      <c r="A34" s="14" t="s">
        <v>57</v>
      </c>
      <c r="B34" s="32">
        <v>3000</v>
      </c>
      <c r="C34" s="31">
        <v>3000</v>
      </c>
      <c r="D34" s="26" t="s">
        <v>54</v>
      </c>
      <c r="E34" s="49">
        <f>COUNT($E$3:$E$12)*$B34</f>
        <v>15000</v>
      </c>
      <c r="F34" s="50">
        <f t="shared" ref="F34:AB34" si="22">(COUNT(F$3:F$12)-COUNT(E$3:E$12))*$B34</f>
        <v>0</v>
      </c>
      <c r="G34" s="50">
        <f t="shared" si="22"/>
        <v>0</v>
      </c>
      <c r="H34" s="50">
        <f t="shared" si="22"/>
        <v>6000</v>
      </c>
      <c r="I34" s="50">
        <f t="shared" si="22"/>
        <v>0</v>
      </c>
      <c r="J34" s="50">
        <f t="shared" si="22"/>
        <v>0</v>
      </c>
      <c r="K34" s="50">
        <f t="shared" si="22"/>
        <v>6000</v>
      </c>
      <c r="L34" s="50">
        <f t="shared" si="22"/>
        <v>0</v>
      </c>
      <c r="M34" s="50">
        <f t="shared" si="22"/>
        <v>3000</v>
      </c>
      <c r="N34" s="50">
        <f t="shared" si="22"/>
        <v>0</v>
      </c>
      <c r="O34" s="50">
        <f t="shared" si="22"/>
        <v>0</v>
      </c>
      <c r="P34" s="50">
        <f t="shared" si="22"/>
        <v>0</v>
      </c>
      <c r="Q34" s="50">
        <f t="shared" si="22"/>
        <v>0</v>
      </c>
      <c r="R34" s="50">
        <f t="shared" si="22"/>
        <v>0</v>
      </c>
      <c r="S34" s="50">
        <f t="shared" si="22"/>
        <v>0</v>
      </c>
      <c r="T34" s="50">
        <f t="shared" si="22"/>
        <v>0</v>
      </c>
      <c r="U34" s="50">
        <f t="shared" si="22"/>
        <v>0</v>
      </c>
      <c r="V34" s="50">
        <f t="shared" si="22"/>
        <v>0</v>
      </c>
      <c r="W34" s="50">
        <f t="shared" si="22"/>
        <v>0</v>
      </c>
      <c r="X34" s="50">
        <f t="shared" si="22"/>
        <v>0</v>
      </c>
      <c r="Y34" s="50">
        <f t="shared" si="22"/>
        <v>0</v>
      </c>
      <c r="Z34" s="50">
        <f t="shared" si="22"/>
        <v>0</v>
      </c>
      <c r="AA34" s="50">
        <f t="shared" si="22"/>
        <v>0</v>
      </c>
      <c r="AB34" s="50">
        <f t="shared" si="22"/>
        <v>0</v>
      </c>
      <c r="AC34" s="6"/>
      <c r="AD34" s="2"/>
      <c r="AE34" s="2"/>
    </row>
    <row r="35" spans="1:32" x14ac:dyDescent="0.25">
      <c r="A35" s="14" t="s">
        <v>48</v>
      </c>
      <c r="B35" s="32">
        <v>2000</v>
      </c>
      <c r="C35" s="31">
        <v>3000</v>
      </c>
      <c r="D35" s="26" t="s">
        <v>10</v>
      </c>
      <c r="E35" s="49">
        <f t="shared" ref="E35:P35" si="23">$B35</f>
        <v>2000</v>
      </c>
      <c r="F35" s="50">
        <f t="shared" si="23"/>
        <v>2000</v>
      </c>
      <c r="G35" s="50">
        <f t="shared" si="23"/>
        <v>2000</v>
      </c>
      <c r="H35" s="50">
        <f t="shared" si="23"/>
        <v>2000</v>
      </c>
      <c r="I35" s="50">
        <f t="shared" si="23"/>
        <v>2000</v>
      </c>
      <c r="J35" s="50">
        <f t="shared" si="23"/>
        <v>2000</v>
      </c>
      <c r="K35" s="50">
        <f t="shared" si="23"/>
        <v>2000</v>
      </c>
      <c r="L35" s="50">
        <f t="shared" si="23"/>
        <v>2000</v>
      </c>
      <c r="M35" s="50">
        <f t="shared" si="23"/>
        <v>2000</v>
      </c>
      <c r="N35" s="50">
        <f t="shared" si="23"/>
        <v>2000</v>
      </c>
      <c r="O35" s="50">
        <f t="shared" si="23"/>
        <v>2000</v>
      </c>
      <c r="P35" s="50">
        <f t="shared" si="23"/>
        <v>2000</v>
      </c>
      <c r="Q35" s="50">
        <f>+$C35</f>
        <v>3000</v>
      </c>
      <c r="R35" s="50">
        <f t="shared" ref="R35:AB35" si="24">+$C35</f>
        <v>3000</v>
      </c>
      <c r="S35" s="50">
        <f t="shared" si="24"/>
        <v>3000</v>
      </c>
      <c r="T35" s="50">
        <f t="shared" si="24"/>
        <v>3000</v>
      </c>
      <c r="U35" s="50">
        <f t="shared" si="24"/>
        <v>3000</v>
      </c>
      <c r="V35" s="50">
        <f t="shared" si="24"/>
        <v>3000</v>
      </c>
      <c r="W35" s="50">
        <f t="shared" si="24"/>
        <v>3000</v>
      </c>
      <c r="X35" s="50">
        <f t="shared" si="24"/>
        <v>3000</v>
      </c>
      <c r="Y35" s="50">
        <f t="shared" si="24"/>
        <v>3000</v>
      </c>
      <c r="Z35" s="50">
        <f t="shared" si="24"/>
        <v>3000</v>
      </c>
      <c r="AA35" s="50">
        <f t="shared" si="24"/>
        <v>3000</v>
      </c>
      <c r="AB35" s="50">
        <f t="shared" si="24"/>
        <v>3000</v>
      </c>
      <c r="AC35" s="6"/>
      <c r="AD35" s="2"/>
      <c r="AE35" s="2"/>
    </row>
    <row r="36" spans="1:32" x14ac:dyDescent="0.25">
      <c r="A36" s="15" t="s">
        <v>49</v>
      </c>
      <c r="B36" s="33">
        <v>5000</v>
      </c>
      <c r="C36" s="34">
        <v>7000</v>
      </c>
      <c r="D36" s="35" t="s">
        <v>10</v>
      </c>
      <c r="E36" s="49">
        <f>+$B$36</f>
        <v>5000</v>
      </c>
      <c r="F36" s="50">
        <f t="shared" ref="F36:P36" si="25">+$B$36</f>
        <v>5000</v>
      </c>
      <c r="G36" s="50">
        <f t="shared" si="25"/>
        <v>5000</v>
      </c>
      <c r="H36" s="50">
        <f t="shared" si="25"/>
        <v>5000</v>
      </c>
      <c r="I36" s="50">
        <f t="shared" si="25"/>
        <v>5000</v>
      </c>
      <c r="J36" s="50">
        <f t="shared" si="25"/>
        <v>5000</v>
      </c>
      <c r="K36" s="50">
        <f t="shared" si="25"/>
        <v>5000</v>
      </c>
      <c r="L36" s="50">
        <f t="shared" si="25"/>
        <v>5000</v>
      </c>
      <c r="M36" s="50">
        <f t="shared" si="25"/>
        <v>5000</v>
      </c>
      <c r="N36" s="50">
        <f t="shared" si="25"/>
        <v>5000</v>
      </c>
      <c r="O36" s="50">
        <f t="shared" si="25"/>
        <v>5000</v>
      </c>
      <c r="P36" s="50">
        <f t="shared" si="25"/>
        <v>5000</v>
      </c>
      <c r="Q36" s="50">
        <f>+$C36</f>
        <v>7000</v>
      </c>
      <c r="R36" s="50">
        <f t="shared" ref="R36:AB36" si="26">+$C36</f>
        <v>7000</v>
      </c>
      <c r="S36" s="50">
        <f t="shared" si="26"/>
        <v>7000</v>
      </c>
      <c r="T36" s="50">
        <f t="shared" si="26"/>
        <v>7000</v>
      </c>
      <c r="U36" s="50">
        <f t="shared" si="26"/>
        <v>7000</v>
      </c>
      <c r="V36" s="50">
        <f t="shared" si="26"/>
        <v>7000</v>
      </c>
      <c r="W36" s="50">
        <f t="shared" si="26"/>
        <v>7000</v>
      </c>
      <c r="X36" s="50">
        <f t="shared" si="26"/>
        <v>7000</v>
      </c>
      <c r="Y36" s="50">
        <f t="shared" si="26"/>
        <v>7000</v>
      </c>
      <c r="Z36" s="50">
        <f t="shared" si="26"/>
        <v>7000</v>
      </c>
      <c r="AA36" s="50">
        <f t="shared" si="26"/>
        <v>7000</v>
      </c>
      <c r="AB36" s="50">
        <f t="shared" si="26"/>
        <v>7000</v>
      </c>
      <c r="AC36" s="6"/>
      <c r="AD36" s="2"/>
      <c r="AE36" s="2"/>
    </row>
    <row r="37" spans="1:32" ht="16.5" thickBot="1" x14ac:dyDescent="0.3">
      <c r="A37" s="12" t="s">
        <v>16</v>
      </c>
      <c r="B37" s="82"/>
      <c r="C37" s="83"/>
      <c r="D37" s="84"/>
      <c r="E37" s="62">
        <f t="shared" ref="E37:V37" si="27">SUM(E26:E36)</f>
        <v>61450</v>
      </c>
      <c r="F37" s="58">
        <f t="shared" si="27"/>
        <v>21450</v>
      </c>
      <c r="G37" s="58">
        <f t="shared" si="27"/>
        <v>21450</v>
      </c>
      <c r="H37" s="58">
        <f t="shared" si="27"/>
        <v>22450</v>
      </c>
      <c r="I37" s="58">
        <f t="shared" si="27"/>
        <v>16450</v>
      </c>
      <c r="J37" s="58">
        <f t="shared" si="27"/>
        <v>16450</v>
      </c>
      <c r="K37" s="58">
        <f t="shared" si="27"/>
        <v>22450</v>
      </c>
      <c r="L37" s="58">
        <f t="shared" si="27"/>
        <v>16450</v>
      </c>
      <c r="M37" s="58">
        <f t="shared" si="27"/>
        <v>19450</v>
      </c>
      <c r="N37" s="58">
        <f t="shared" si="27"/>
        <v>16450</v>
      </c>
      <c r="O37" s="58">
        <f t="shared" si="27"/>
        <v>16450</v>
      </c>
      <c r="P37" s="59">
        <f t="shared" si="27"/>
        <v>16450</v>
      </c>
      <c r="Q37" s="60">
        <f t="shared" si="27"/>
        <v>25950</v>
      </c>
      <c r="R37" s="58">
        <f t="shared" si="27"/>
        <v>25950</v>
      </c>
      <c r="S37" s="58">
        <f t="shared" si="27"/>
        <v>25950</v>
      </c>
      <c r="T37" s="58">
        <f t="shared" si="27"/>
        <v>25950</v>
      </c>
      <c r="U37" s="58">
        <f t="shared" si="27"/>
        <v>25950</v>
      </c>
      <c r="V37" s="58">
        <f t="shared" si="27"/>
        <v>25950</v>
      </c>
      <c r="W37" s="58">
        <f t="shared" ref="W37" si="28">SUM(W26:W36)</f>
        <v>25950</v>
      </c>
      <c r="X37" s="58">
        <f t="shared" ref="X37" si="29">SUM(X26:X36)</f>
        <v>25950</v>
      </c>
      <c r="Y37" s="58">
        <f t="shared" ref="Y37" si="30">SUM(Y26:Y36)</f>
        <v>25950</v>
      </c>
      <c r="Z37" s="58">
        <f t="shared" ref="Z37" si="31">SUM(Z26:Z36)</f>
        <v>25950</v>
      </c>
      <c r="AA37" s="58">
        <f t="shared" ref="AA37" si="32">SUM(AA26:AA36)</f>
        <v>25950</v>
      </c>
      <c r="AB37" s="59">
        <f t="shared" ref="AB37" si="33">SUM(AB26:AB36)</f>
        <v>25950</v>
      </c>
      <c r="AC37" s="10">
        <f>+SUM(E37:P37)</f>
        <v>267400</v>
      </c>
      <c r="AD37" s="4">
        <f>SUM(E37:V37)</f>
        <v>423100</v>
      </c>
      <c r="AE37" s="4">
        <f>SUM(E37:AB37)</f>
        <v>578800</v>
      </c>
    </row>
    <row r="38" spans="1:32" x14ac:dyDescent="0.25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7"/>
      <c r="AC38" s="10"/>
      <c r="AD38" s="4"/>
      <c r="AE38" s="4"/>
    </row>
    <row r="39" spans="1:32" ht="18.75" customHeight="1" x14ac:dyDescent="0.25">
      <c r="A39" s="79" t="s">
        <v>71</v>
      </c>
      <c r="B39" s="80"/>
      <c r="C39" s="80"/>
      <c r="D39" s="81"/>
      <c r="E39" s="38">
        <f t="shared" ref="E39:AB39" si="34">SUM(E37,E23,E15)</f>
        <v>81423.333333333343</v>
      </c>
      <c r="F39" s="38">
        <f t="shared" si="34"/>
        <v>41423.333333333336</v>
      </c>
      <c r="G39" s="38">
        <f t="shared" si="34"/>
        <v>41488.333333333336</v>
      </c>
      <c r="H39" s="38">
        <f t="shared" si="34"/>
        <v>56313.333333333336</v>
      </c>
      <c r="I39" s="38">
        <f t="shared" si="34"/>
        <v>50313.333333333336</v>
      </c>
      <c r="J39" s="38">
        <f t="shared" si="34"/>
        <v>50378.333333333336</v>
      </c>
      <c r="K39" s="38">
        <f t="shared" si="34"/>
        <v>70203.333333333343</v>
      </c>
      <c r="L39" s="38">
        <f t="shared" si="34"/>
        <v>64268.333333333336</v>
      </c>
      <c r="M39" s="38">
        <f t="shared" si="34"/>
        <v>67273.333333333343</v>
      </c>
      <c r="N39" s="38">
        <f t="shared" si="34"/>
        <v>64403.333333333336</v>
      </c>
      <c r="O39" s="38">
        <f t="shared" si="34"/>
        <v>64403.333333333336</v>
      </c>
      <c r="P39" s="38">
        <f t="shared" si="34"/>
        <v>64403.333333333336</v>
      </c>
      <c r="Q39" s="38">
        <f t="shared" si="34"/>
        <v>73903.333333333343</v>
      </c>
      <c r="R39" s="38">
        <f t="shared" si="34"/>
        <v>73903.333333333343</v>
      </c>
      <c r="S39" s="38">
        <f t="shared" si="34"/>
        <v>73903.333333333343</v>
      </c>
      <c r="T39" s="38">
        <f t="shared" si="34"/>
        <v>73903.333333333343</v>
      </c>
      <c r="U39" s="38">
        <f t="shared" si="34"/>
        <v>73903.333333333343</v>
      </c>
      <c r="V39" s="38">
        <f t="shared" si="34"/>
        <v>73903.333333333343</v>
      </c>
      <c r="W39" s="38">
        <f t="shared" si="34"/>
        <v>73903.333333333343</v>
      </c>
      <c r="X39" s="38">
        <f t="shared" si="34"/>
        <v>73903.333333333343</v>
      </c>
      <c r="Y39" s="38">
        <f t="shared" si="34"/>
        <v>73903.333333333343</v>
      </c>
      <c r="Z39" s="38">
        <f t="shared" si="34"/>
        <v>73903.333333333343</v>
      </c>
      <c r="AA39" s="38">
        <f t="shared" si="34"/>
        <v>73903.333333333343</v>
      </c>
      <c r="AB39" s="38">
        <f t="shared" si="34"/>
        <v>73903.333333333343</v>
      </c>
      <c r="AC39" s="4">
        <f>+SUM(E39:P39)</f>
        <v>716295.00000000012</v>
      </c>
      <c r="AD39" s="4">
        <f>SUM(E39:V39)</f>
        <v>1159715.0000000002</v>
      </c>
      <c r="AE39" s="4">
        <f>SUM(E39:AB39)</f>
        <v>1603134.9999999998</v>
      </c>
    </row>
    <row r="40" spans="1:32" ht="16.5" thickBot="1" x14ac:dyDescent="0.3">
      <c r="A40" s="36" t="s">
        <v>45</v>
      </c>
      <c r="B40" s="78"/>
      <c r="C40" s="78"/>
      <c r="D40" s="78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38">
        <f>SUM(E39:P39)</f>
        <v>716295.00000000012</v>
      </c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38">
        <f>SUM(Q39:AB39)</f>
        <v>886840.00000000035</v>
      </c>
      <c r="AC40" s="8"/>
      <c r="AD40" s="2"/>
      <c r="AE40" s="2"/>
    </row>
    <row r="41" spans="1:32" ht="16.5" thickBot="1" x14ac:dyDescent="0.3">
      <c r="A41" s="23" t="s">
        <v>63</v>
      </c>
      <c r="B41" s="76">
        <v>2000000</v>
      </c>
      <c r="C41" s="77"/>
      <c r="D41" s="37" t="s">
        <v>66</v>
      </c>
      <c r="E41" s="27">
        <f>+B41</f>
        <v>2000000</v>
      </c>
      <c r="F41" s="28">
        <f>+E43</f>
        <v>1918576.6666666667</v>
      </c>
      <c r="G41" s="28">
        <f t="shared" ref="G41:AB41" si="35">+F43</f>
        <v>1877153.3333333335</v>
      </c>
      <c r="H41" s="28">
        <f t="shared" si="35"/>
        <v>1835665.0000000002</v>
      </c>
      <c r="I41" s="28">
        <f t="shared" si="35"/>
        <v>1779351.666666667</v>
      </c>
      <c r="J41" s="28">
        <f t="shared" si="35"/>
        <v>1729038.3333333337</v>
      </c>
      <c r="K41" s="28">
        <f t="shared" si="35"/>
        <v>1678660.0000000005</v>
      </c>
      <c r="L41" s="28">
        <f t="shared" si="35"/>
        <v>1608456.6666666672</v>
      </c>
      <c r="M41" s="28">
        <f t="shared" si="35"/>
        <v>1544188.333333334</v>
      </c>
      <c r="N41" s="28">
        <f t="shared" si="35"/>
        <v>1476915.0000000007</v>
      </c>
      <c r="O41" s="28">
        <f t="shared" si="35"/>
        <v>1412511.6666666674</v>
      </c>
      <c r="P41" s="28">
        <f t="shared" si="35"/>
        <v>1348108.3333333342</v>
      </c>
      <c r="Q41" s="28">
        <f t="shared" si="35"/>
        <v>1283705.0000000009</v>
      </c>
      <c r="R41" s="28">
        <f t="shared" si="35"/>
        <v>1209801.6666666677</v>
      </c>
      <c r="S41" s="28">
        <f t="shared" si="35"/>
        <v>1135898.3333333344</v>
      </c>
      <c r="T41" s="28">
        <f t="shared" si="35"/>
        <v>1061995.0000000012</v>
      </c>
      <c r="U41" s="28">
        <f t="shared" si="35"/>
        <v>988091.66666666779</v>
      </c>
      <c r="V41" s="28">
        <f t="shared" si="35"/>
        <v>914188.33333333442</v>
      </c>
      <c r="W41" s="28">
        <f t="shared" si="35"/>
        <v>840285.00000000105</v>
      </c>
      <c r="X41" s="28">
        <f t="shared" si="35"/>
        <v>766381.66666666768</v>
      </c>
      <c r="Y41" s="28">
        <f t="shared" si="35"/>
        <v>692478.3333333343</v>
      </c>
      <c r="Z41" s="28">
        <f t="shared" si="35"/>
        <v>618575.00000000093</v>
      </c>
      <c r="AA41" s="28">
        <f t="shared" si="35"/>
        <v>544671.66666666756</v>
      </c>
      <c r="AB41" s="28">
        <f t="shared" si="35"/>
        <v>470768.33333333419</v>
      </c>
      <c r="AC41" s="5"/>
      <c r="AF41" s="1"/>
    </row>
    <row r="42" spans="1:32" x14ac:dyDescent="0.25">
      <c r="A42" s="18" t="s">
        <v>64</v>
      </c>
      <c r="B42" s="85"/>
      <c r="C42" s="85"/>
      <c r="D42" s="85"/>
      <c r="E42" s="28">
        <f t="shared" ref="E42:AB42" si="36">+E39</f>
        <v>81423.333333333343</v>
      </c>
      <c r="F42" s="28">
        <f t="shared" si="36"/>
        <v>41423.333333333336</v>
      </c>
      <c r="G42" s="28">
        <f t="shared" si="36"/>
        <v>41488.333333333336</v>
      </c>
      <c r="H42" s="28">
        <f t="shared" si="36"/>
        <v>56313.333333333336</v>
      </c>
      <c r="I42" s="28">
        <f t="shared" si="36"/>
        <v>50313.333333333336</v>
      </c>
      <c r="J42" s="28">
        <f t="shared" si="36"/>
        <v>50378.333333333336</v>
      </c>
      <c r="K42" s="28">
        <f t="shared" si="36"/>
        <v>70203.333333333343</v>
      </c>
      <c r="L42" s="28">
        <f t="shared" si="36"/>
        <v>64268.333333333336</v>
      </c>
      <c r="M42" s="28">
        <f t="shared" si="36"/>
        <v>67273.333333333343</v>
      </c>
      <c r="N42" s="28">
        <f t="shared" si="36"/>
        <v>64403.333333333336</v>
      </c>
      <c r="O42" s="28">
        <f t="shared" si="36"/>
        <v>64403.333333333336</v>
      </c>
      <c r="P42" s="28">
        <f t="shared" si="36"/>
        <v>64403.333333333336</v>
      </c>
      <c r="Q42" s="28">
        <f t="shared" si="36"/>
        <v>73903.333333333343</v>
      </c>
      <c r="R42" s="28">
        <f t="shared" si="36"/>
        <v>73903.333333333343</v>
      </c>
      <c r="S42" s="28">
        <f t="shared" si="36"/>
        <v>73903.333333333343</v>
      </c>
      <c r="T42" s="28">
        <f t="shared" si="36"/>
        <v>73903.333333333343</v>
      </c>
      <c r="U42" s="28">
        <f t="shared" si="36"/>
        <v>73903.333333333343</v>
      </c>
      <c r="V42" s="28">
        <f t="shared" si="36"/>
        <v>73903.333333333343</v>
      </c>
      <c r="W42" s="28">
        <f t="shared" si="36"/>
        <v>73903.333333333343</v>
      </c>
      <c r="X42" s="28">
        <f t="shared" si="36"/>
        <v>73903.333333333343</v>
      </c>
      <c r="Y42" s="28">
        <f t="shared" si="36"/>
        <v>73903.333333333343</v>
      </c>
      <c r="Z42" s="28">
        <f t="shared" si="36"/>
        <v>73903.333333333343</v>
      </c>
      <c r="AA42" s="28">
        <f t="shared" si="36"/>
        <v>73903.333333333343</v>
      </c>
      <c r="AB42" s="28">
        <f t="shared" si="36"/>
        <v>73903.333333333343</v>
      </c>
      <c r="AC42" s="5"/>
      <c r="AF42" s="1"/>
    </row>
    <row r="43" spans="1:32" x14ac:dyDescent="0.25">
      <c r="A43" s="18" t="s">
        <v>65</v>
      </c>
      <c r="B43" s="75"/>
      <c r="C43" s="75"/>
      <c r="D43" s="75"/>
      <c r="E43" s="38">
        <f>+E41-E42</f>
        <v>1918576.6666666667</v>
      </c>
      <c r="F43" s="38">
        <f t="shared" ref="F43:AB43" si="37">+F41-F42</f>
        <v>1877153.3333333335</v>
      </c>
      <c r="G43" s="38">
        <f t="shared" si="37"/>
        <v>1835665.0000000002</v>
      </c>
      <c r="H43" s="38">
        <f t="shared" si="37"/>
        <v>1779351.666666667</v>
      </c>
      <c r="I43" s="38">
        <f t="shared" si="37"/>
        <v>1729038.3333333337</v>
      </c>
      <c r="J43" s="38">
        <f t="shared" si="37"/>
        <v>1678660.0000000005</v>
      </c>
      <c r="K43" s="38">
        <f t="shared" si="37"/>
        <v>1608456.6666666672</v>
      </c>
      <c r="L43" s="38">
        <f t="shared" si="37"/>
        <v>1544188.333333334</v>
      </c>
      <c r="M43" s="38">
        <f t="shared" si="37"/>
        <v>1476915.0000000007</v>
      </c>
      <c r="N43" s="38">
        <f t="shared" si="37"/>
        <v>1412511.6666666674</v>
      </c>
      <c r="O43" s="38">
        <f t="shared" si="37"/>
        <v>1348108.3333333342</v>
      </c>
      <c r="P43" s="38">
        <f t="shared" si="37"/>
        <v>1283705.0000000009</v>
      </c>
      <c r="Q43" s="38">
        <f t="shared" si="37"/>
        <v>1209801.6666666677</v>
      </c>
      <c r="R43" s="38">
        <f t="shared" si="37"/>
        <v>1135898.3333333344</v>
      </c>
      <c r="S43" s="38">
        <f t="shared" si="37"/>
        <v>1061995.0000000012</v>
      </c>
      <c r="T43" s="38">
        <f t="shared" si="37"/>
        <v>988091.66666666779</v>
      </c>
      <c r="U43" s="38">
        <f t="shared" si="37"/>
        <v>914188.33333333442</v>
      </c>
      <c r="V43" s="38">
        <f t="shared" si="37"/>
        <v>840285.00000000105</v>
      </c>
      <c r="W43" s="38">
        <f t="shared" si="37"/>
        <v>766381.66666666768</v>
      </c>
      <c r="X43" s="38">
        <f t="shared" si="37"/>
        <v>692478.3333333343</v>
      </c>
      <c r="Y43" s="38">
        <f t="shared" si="37"/>
        <v>618575.00000000093</v>
      </c>
      <c r="Z43" s="38">
        <f t="shared" si="37"/>
        <v>544671.66666666756</v>
      </c>
      <c r="AA43" s="38">
        <f t="shared" si="37"/>
        <v>470768.33333333419</v>
      </c>
      <c r="AB43" s="38">
        <f t="shared" si="37"/>
        <v>396865.00000000081</v>
      </c>
      <c r="AC43" s="5"/>
      <c r="AF43" s="1"/>
    </row>
    <row r="44" spans="1:32" x14ac:dyDescent="0.25">
      <c r="B44" s="3"/>
      <c r="C44" s="3"/>
      <c r="AF44" s="1"/>
    </row>
    <row r="45" spans="1:32" ht="15.75" customHeight="1" x14ac:dyDescent="0.25">
      <c r="A45" s="118" t="s">
        <v>72</v>
      </c>
      <c r="B45" s="118"/>
      <c r="C45" s="118"/>
      <c r="D45" s="118"/>
      <c r="E45" s="118"/>
      <c r="F45" s="118"/>
      <c r="G45" s="118"/>
      <c r="AF45" s="1"/>
    </row>
    <row r="46" spans="1:32" x14ac:dyDescent="0.25">
      <c r="A46" s="118"/>
      <c r="B46" s="118"/>
      <c r="C46" s="118"/>
      <c r="D46" s="118"/>
      <c r="E46" s="118"/>
      <c r="F46" s="118"/>
      <c r="G46" s="118"/>
      <c r="AF46" s="1"/>
    </row>
    <row r="47" spans="1:32" x14ac:dyDescent="0.25">
      <c r="A47" s="118"/>
      <c r="B47" s="118"/>
      <c r="C47" s="118"/>
      <c r="D47" s="118"/>
      <c r="E47" s="118"/>
      <c r="F47" s="118"/>
      <c r="G47" s="118"/>
      <c r="AF47" s="1"/>
    </row>
    <row r="48" spans="1:32" x14ac:dyDescent="0.25">
      <c r="A48" s="118"/>
      <c r="B48" s="118"/>
      <c r="C48" s="118"/>
      <c r="D48" s="118"/>
      <c r="E48" s="118"/>
      <c r="F48" s="118"/>
      <c r="G48" s="118"/>
      <c r="AF48" s="1"/>
    </row>
    <row r="49" spans="2:32" x14ac:dyDescent="0.25">
      <c r="B49" s="3"/>
      <c r="C49" s="3"/>
      <c r="AF49" s="1"/>
    </row>
    <row r="50" spans="2:32" x14ac:dyDescent="0.25">
      <c r="B50" s="3"/>
      <c r="C50" s="3"/>
      <c r="AF50" s="1"/>
    </row>
    <row r="51" spans="2:32" x14ac:dyDescent="0.25">
      <c r="B51" s="3"/>
      <c r="C51" s="3"/>
      <c r="AF51" s="1"/>
    </row>
    <row r="52" spans="2:32" x14ac:dyDescent="0.25">
      <c r="B52" s="3"/>
      <c r="C52" s="3"/>
      <c r="AF52" s="1"/>
    </row>
    <row r="53" spans="2:32" x14ac:dyDescent="0.25">
      <c r="B53" s="3"/>
      <c r="C53" s="3"/>
      <c r="AF53" s="1"/>
    </row>
    <row r="54" spans="2:32" x14ac:dyDescent="0.25">
      <c r="B54" s="3"/>
      <c r="C54" s="3"/>
      <c r="AF54" s="1"/>
    </row>
    <row r="55" spans="2:32" x14ac:dyDescent="0.25">
      <c r="B55" s="3"/>
      <c r="C55" s="3"/>
      <c r="AF55" s="1"/>
    </row>
    <row r="56" spans="2:32" x14ac:dyDescent="0.25">
      <c r="B56" s="3"/>
      <c r="C56" s="3"/>
      <c r="AF56" s="1"/>
    </row>
    <row r="57" spans="2:32" x14ac:dyDescent="0.25">
      <c r="B57" s="3"/>
      <c r="C57" s="3"/>
      <c r="AF57" s="1"/>
    </row>
    <row r="58" spans="2:32" x14ac:dyDescent="0.25">
      <c r="B58" s="3"/>
      <c r="C58" s="3"/>
      <c r="AF58" s="1"/>
    </row>
    <row r="59" spans="2:32" x14ac:dyDescent="0.25">
      <c r="B59" s="3"/>
      <c r="C59" s="3"/>
      <c r="AF59" s="1"/>
    </row>
    <row r="60" spans="2:32" x14ac:dyDescent="0.25">
      <c r="B60" s="3"/>
      <c r="C60" s="3"/>
      <c r="AF60" s="1"/>
    </row>
    <row r="61" spans="2:32" x14ac:dyDescent="0.25">
      <c r="B61" s="3"/>
      <c r="C61" s="3"/>
      <c r="AF61" s="1"/>
    </row>
    <row r="62" spans="2:32" x14ac:dyDescent="0.25">
      <c r="B62" s="3"/>
      <c r="C62" s="3"/>
      <c r="AF62" s="1"/>
    </row>
    <row r="63" spans="2:32" x14ac:dyDescent="0.25">
      <c r="B63" s="3"/>
      <c r="C63" s="3"/>
      <c r="AF63" s="1"/>
    </row>
    <row r="64" spans="2:32" x14ac:dyDescent="0.25">
      <c r="B64" s="3"/>
      <c r="C64" s="3"/>
      <c r="AF64" s="1"/>
    </row>
    <row r="65" spans="2:32" x14ac:dyDescent="0.25">
      <c r="B65" s="3"/>
      <c r="C65" s="3"/>
      <c r="AF65" s="1"/>
    </row>
    <row r="66" spans="2:32" x14ac:dyDescent="0.25">
      <c r="B66" s="3"/>
      <c r="C66" s="3"/>
      <c r="AF66" s="1"/>
    </row>
    <row r="67" spans="2:32" x14ac:dyDescent="0.25">
      <c r="B67" s="3"/>
      <c r="C67" s="3"/>
      <c r="AF67" s="1"/>
    </row>
    <row r="68" spans="2:32" x14ac:dyDescent="0.25">
      <c r="B68" s="3"/>
      <c r="C68" s="3"/>
      <c r="AF68" s="1"/>
    </row>
    <row r="69" spans="2:32" x14ac:dyDescent="0.25">
      <c r="B69" s="3"/>
      <c r="C69" s="3"/>
      <c r="AF69" s="1"/>
    </row>
    <row r="70" spans="2:32" x14ac:dyDescent="0.25">
      <c r="B70" s="3"/>
      <c r="C70" s="3"/>
      <c r="AF70" s="1"/>
    </row>
    <row r="71" spans="2:32" x14ac:dyDescent="0.25">
      <c r="B71" s="3"/>
      <c r="C71" s="3"/>
      <c r="AF71" s="1"/>
    </row>
    <row r="72" spans="2:32" x14ac:dyDescent="0.25">
      <c r="B72" s="3"/>
      <c r="C72" s="3"/>
      <c r="AF72" s="1"/>
    </row>
    <row r="73" spans="2:32" hidden="1" x14ac:dyDescent="0.25">
      <c r="B73" s="3"/>
      <c r="C73" s="3"/>
      <c r="AF73" s="1"/>
    </row>
    <row r="74" spans="2:32" hidden="1" x14ac:dyDescent="0.25">
      <c r="B74" s="3"/>
      <c r="C74" s="3"/>
      <c r="AF74" s="1"/>
    </row>
    <row r="75" spans="2:32" hidden="1" x14ac:dyDescent="0.25">
      <c r="B75" s="3"/>
      <c r="C75" s="3"/>
      <c r="AF75" s="1"/>
    </row>
    <row r="76" spans="2:32" hidden="1" x14ac:dyDescent="0.25">
      <c r="B76" s="3"/>
      <c r="C76" s="3"/>
      <c r="AF76" s="1"/>
    </row>
    <row r="77" spans="2:32" hidden="1" x14ac:dyDescent="0.25">
      <c r="B77" s="3"/>
      <c r="C77" s="3"/>
      <c r="AF77" s="1"/>
    </row>
    <row r="78" spans="2:32" hidden="1" x14ac:dyDescent="0.25">
      <c r="B78" s="3"/>
      <c r="C78" s="3"/>
      <c r="AF78" s="1"/>
    </row>
    <row r="79" spans="2:32" hidden="1" x14ac:dyDescent="0.25">
      <c r="B79" s="3"/>
      <c r="C79" s="3"/>
      <c r="AF79" s="1"/>
    </row>
    <row r="80" spans="2:32" hidden="1" x14ac:dyDescent="0.25">
      <c r="B80" s="3"/>
      <c r="C80" s="3"/>
      <c r="AF80" s="1"/>
    </row>
    <row r="81" spans="2:32" hidden="1" x14ac:dyDescent="0.25">
      <c r="B81" s="3"/>
      <c r="C81" s="3"/>
      <c r="AF81" s="1"/>
    </row>
    <row r="82" spans="2:32" hidden="1" x14ac:dyDescent="0.25">
      <c r="B82" s="3"/>
      <c r="C82" s="3"/>
      <c r="AF82" s="1"/>
    </row>
    <row r="83" spans="2:32" hidden="1" x14ac:dyDescent="0.25">
      <c r="B83" s="3"/>
      <c r="C83" s="3"/>
      <c r="AF83" s="1"/>
    </row>
    <row r="84" spans="2:32" hidden="1" x14ac:dyDescent="0.25">
      <c r="B84" s="3"/>
      <c r="C84" s="3"/>
      <c r="AF84" s="1"/>
    </row>
    <row r="85" spans="2:32" hidden="1" x14ac:dyDescent="0.25">
      <c r="B85" s="3"/>
      <c r="C85" s="3"/>
      <c r="AF85" s="1"/>
    </row>
    <row r="86" spans="2:32" hidden="1" x14ac:dyDescent="0.25">
      <c r="B86" s="3"/>
      <c r="C86" s="3"/>
      <c r="AF86" s="1"/>
    </row>
    <row r="87" spans="2:32" hidden="1" x14ac:dyDescent="0.25">
      <c r="B87" s="3"/>
      <c r="C87" s="3"/>
      <c r="AF87" s="1"/>
    </row>
    <row r="88" spans="2:32" hidden="1" x14ac:dyDescent="0.25">
      <c r="B88" s="3"/>
      <c r="C88" s="3"/>
      <c r="AF88" s="1"/>
    </row>
    <row r="89" spans="2:32" hidden="1" x14ac:dyDescent="0.25">
      <c r="B89" s="3"/>
      <c r="C89" s="3"/>
      <c r="AF89" s="1"/>
    </row>
    <row r="90" spans="2:32" hidden="1" x14ac:dyDescent="0.25">
      <c r="B90" s="3"/>
      <c r="C90" s="3"/>
      <c r="AF90" s="1"/>
    </row>
    <row r="91" spans="2:32" hidden="1" x14ac:dyDescent="0.25">
      <c r="B91" s="3"/>
      <c r="C91" s="3"/>
      <c r="AF91" s="1"/>
    </row>
    <row r="92" spans="2:32" hidden="1" x14ac:dyDescent="0.25">
      <c r="B92" s="3"/>
      <c r="C92" s="3"/>
      <c r="AF92" s="1"/>
    </row>
    <row r="93" spans="2:32" hidden="1" x14ac:dyDescent="0.25">
      <c r="B93" s="3"/>
      <c r="C93" s="3"/>
      <c r="AF93" s="1"/>
    </row>
    <row r="94" spans="2:32" hidden="1" x14ac:dyDescent="0.25">
      <c r="B94" s="3"/>
      <c r="C94" s="3"/>
      <c r="AF94" s="1"/>
    </row>
    <row r="95" spans="2:32" hidden="1" x14ac:dyDescent="0.25">
      <c r="B95" s="3"/>
      <c r="C95" s="3"/>
      <c r="AF95" s="1"/>
    </row>
    <row r="96" spans="2:32" hidden="1" x14ac:dyDescent="0.25">
      <c r="B96" s="3"/>
      <c r="C96" s="3"/>
      <c r="AF96" s="1"/>
    </row>
    <row r="97" spans="2:32" hidden="1" x14ac:dyDescent="0.25">
      <c r="B97" s="3"/>
      <c r="C97" s="3"/>
      <c r="AF97" s="1"/>
    </row>
    <row r="98" spans="2:32" hidden="1" x14ac:dyDescent="0.25">
      <c r="B98" s="3"/>
      <c r="C98" s="3"/>
      <c r="AF98" s="1"/>
    </row>
    <row r="99" spans="2:32" hidden="1" x14ac:dyDescent="0.25">
      <c r="B99" s="3"/>
      <c r="C99" s="3"/>
      <c r="AF99" s="1"/>
    </row>
    <row r="100" spans="2:32" hidden="1" x14ac:dyDescent="0.25">
      <c r="B100" s="3"/>
      <c r="C100" s="3"/>
      <c r="AF100" s="1"/>
    </row>
    <row r="101" spans="2:32" hidden="1" x14ac:dyDescent="0.25">
      <c r="B101" s="3"/>
      <c r="C101" s="3"/>
      <c r="AF101" s="1"/>
    </row>
    <row r="102" spans="2:32" hidden="1" x14ac:dyDescent="0.25">
      <c r="B102" s="3"/>
      <c r="C102" s="3"/>
      <c r="AF102" s="1"/>
    </row>
    <row r="103" spans="2:32" hidden="1" x14ac:dyDescent="0.25">
      <c r="B103" s="3"/>
      <c r="C103" s="3"/>
      <c r="AF103" s="1"/>
    </row>
    <row r="104" spans="2:32" hidden="1" x14ac:dyDescent="0.25">
      <c r="B104" s="3"/>
      <c r="C104" s="3"/>
      <c r="AF104" s="1"/>
    </row>
    <row r="105" spans="2:32" x14ac:dyDescent="0.25">
      <c r="AF105" s="1"/>
    </row>
    <row r="106" spans="2:32" x14ac:dyDescent="0.25">
      <c r="AF106" s="1"/>
    </row>
    <row r="107" spans="2:32" x14ac:dyDescent="0.25">
      <c r="AF107" s="1"/>
    </row>
    <row r="108" spans="2:32" x14ac:dyDescent="0.25">
      <c r="AF108" s="1"/>
    </row>
    <row r="109" spans="2:32" x14ac:dyDescent="0.25"/>
    <row r="110" spans="2:32" x14ac:dyDescent="0.25"/>
    <row r="111" spans="2:32" x14ac:dyDescent="0.25"/>
    <row r="112" spans="2:32" x14ac:dyDescent="0.25"/>
    <row r="113" x14ac:dyDescent="0.25"/>
  </sheetData>
  <mergeCells count="34">
    <mergeCell ref="B24:AB24"/>
    <mergeCell ref="E25:AB25"/>
    <mergeCell ref="B22:C22"/>
    <mergeCell ref="Q40:AA40"/>
    <mergeCell ref="A45:G48"/>
    <mergeCell ref="B1:C1"/>
    <mergeCell ref="B3:C3"/>
    <mergeCell ref="B4:C4"/>
    <mergeCell ref="B5:C5"/>
    <mergeCell ref="B6:C6"/>
    <mergeCell ref="B13:D13"/>
    <mergeCell ref="B2:AB2"/>
    <mergeCell ref="B11:C11"/>
    <mergeCell ref="B8:C8"/>
    <mergeCell ref="B9:C9"/>
    <mergeCell ref="B10:C10"/>
    <mergeCell ref="B7:C7"/>
    <mergeCell ref="B12:C12"/>
    <mergeCell ref="B14:C14"/>
    <mergeCell ref="B15:D15"/>
    <mergeCell ref="B43:D43"/>
    <mergeCell ref="B41:C41"/>
    <mergeCell ref="B40:O40"/>
    <mergeCell ref="A39:D39"/>
    <mergeCell ref="B37:D37"/>
    <mergeCell ref="B42:D42"/>
    <mergeCell ref="A38:AB38"/>
    <mergeCell ref="B16:AB16"/>
    <mergeCell ref="B17:D17"/>
    <mergeCell ref="B23:D23"/>
    <mergeCell ref="B18:C18"/>
    <mergeCell ref="B19:C19"/>
    <mergeCell ref="B20:C20"/>
    <mergeCell ref="B21:C21"/>
  </mergeCells>
  <conditionalFormatting sqref="E42">
    <cfRule type="expression" dxfId="1" priority="2">
      <formula>"if($E$50&lt;0)"</formula>
    </cfRule>
  </conditionalFormatting>
  <conditionalFormatting sqref="E43:AB43">
    <cfRule type="cellIs" dxfId="0" priority="1" operator="lessThan">
      <formula>0</formula>
    </cfRule>
  </conditionalFormatting>
  <pageMargins left="0.25" right="0.25" top="0.75" bottom="0.75" header="0.3" footer="0.3"/>
  <pageSetup paperSize="9" orientation="landscape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Donatus</dc:creator>
  <cp:lastModifiedBy>Donatus</cp:lastModifiedBy>
  <cp:lastPrinted>2016-03-23T19:24:54Z</cp:lastPrinted>
  <dcterms:created xsi:type="dcterms:W3CDTF">2013-05-09T19:08:16Z</dcterms:created>
  <dcterms:modified xsi:type="dcterms:W3CDTF">2017-04-04T17:29:58Z</dcterms:modified>
</cp:coreProperties>
</file>